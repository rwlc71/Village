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tosRCR\Village\SegurançcaCondominial\"/>
    </mc:Choice>
  </mc:AlternateContent>
  <xr:revisionPtr revIDLastSave="0" documentId="8_{DA83242B-CC7A-4730-84EC-3DFA68C71BB2}" xr6:coauthVersionLast="46" xr6:coauthVersionMax="46" xr10:uidLastSave="{00000000-0000-0000-0000-000000000000}"/>
  <bookViews>
    <workbookView xWindow="-120" yWindow="-120" windowWidth="29040" windowHeight="15840" xr2:uid="{7F44CBDB-1FBC-4187-9EF7-B4128F3DDEC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D6" i="1" s="1"/>
  <c r="C16" i="1"/>
  <c r="D16" i="1" s="1"/>
  <c r="C10" i="1"/>
  <c r="B14" i="1"/>
  <c r="C18" i="1"/>
  <c r="C17" i="1"/>
  <c r="C19" i="1" s="1"/>
  <c r="C20" i="1" s="1"/>
  <c r="B18" i="1"/>
  <c r="B15" i="1"/>
  <c r="B13" i="1"/>
  <c r="B12" i="1"/>
  <c r="D12" i="1" s="1"/>
  <c r="D18" i="1"/>
  <c r="D17" i="1"/>
  <c r="D15" i="1"/>
  <c r="D8" i="1"/>
  <c r="D7" i="1"/>
  <c r="D5" i="1"/>
  <c r="D4" i="1"/>
  <c r="D3" i="1"/>
  <c r="D2" i="1"/>
  <c r="C9" i="1"/>
  <c r="B9" i="1"/>
  <c r="B3" i="1"/>
  <c r="B4" i="1"/>
  <c r="B2" i="1"/>
  <c r="D9" i="1" l="1"/>
  <c r="D13" i="1"/>
  <c r="D14" i="1"/>
  <c r="D19" i="1" l="1"/>
  <c r="B19" i="1"/>
</calcChain>
</file>

<file path=xl/sharedStrings.xml><?xml version="1.0" encoding="utf-8"?>
<sst xmlns="http://schemas.openxmlformats.org/spreadsheetml/2006/main" count="24" uniqueCount="14">
  <si>
    <t>Modelo Anterior (Presencial 24h)</t>
  </si>
  <si>
    <t>Novo Modelo (Remoto)</t>
  </si>
  <si>
    <t>Economia Mensal</t>
  </si>
  <si>
    <t>Salários e Benefícios (equipe de portaria)</t>
  </si>
  <si>
    <t>Encargos Trabalhistas (INSS, FGTS, etc.)</t>
  </si>
  <si>
    <t>Custos com Substituições (férias, faltas)</t>
  </si>
  <si>
    <t>Treinamento e Uniformes</t>
  </si>
  <si>
    <t>Serviço de Monitoramento Remoto (empresa)</t>
  </si>
  <si>
    <t>Manutenção/Comodato de Equipamentos</t>
  </si>
  <si>
    <t>Custos de Conectividade (internet/link dedicado)</t>
  </si>
  <si>
    <t>TOTAL MENSAL</t>
  </si>
  <si>
    <t>Economia Anual</t>
  </si>
  <si>
    <t>Descrição do Custo - Anual</t>
  </si>
  <si>
    <t>Descrição do Custo -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</si>
</sst>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A0A0A"/>
      <name val="Roboto"/>
    </font>
    <font>
      <sz val="11"/>
      <color rgb="FF0A0A0A"/>
      <name val="Arial"/>
      <family val="2"/>
    </font>
    <font>
      <b/>
      <sz val="11"/>
      <color rgb="FF0A0A0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vertical="top" wrapText="1" indent="1"/>
    </xf>
    <xf numFmtId="44" fontId="3" fillId="2" borderId="1" xfId="1" applyFont="1" applyFill="1" applyBorder="1" applyAlignment="1">
      <alignment vertical="top" wrapText="1" indent="1"/>
    </xf>
    <xf numFmtId="44" fontId="3" fillId="2" borderId="1" xfId="0" applyNumberFormat="1" applyFont="1" applyFill="1" applyBorder="1" applyAlignment="1">
      <alignment vertical="top" wrapText="1" indent="1"/>
    </xf>
    <xf numFmtId="44" fontId="4" fillId="2" borderId="1" xfId="1" applyFont="1" applyFill="1" applyBorder="1" applyAlignment="1">
      <alignment vertical="top" wrapText="1" indent="1"/>
    </xf>
    <xf numFmtId="44" fontId="4" fillId="2" borderId="1" xfId="0" applyNumberFormat="1" applyFont="1" applyFill="1" applyBorder="1" applyAlignment="1">
      <alignment vertical="top" wrapText="1" indent="1"/>
    </xf>
    <xf numFmtId="44" fontId="0" fillId="0" borderId="0" xfId="0" applyNumberFormat="1"/>
    <xf numFmtId="0" fontId="2" fillId="4" borderId="1" xfId="0" applyFont="1" applyFill="1" applyBorder="1" applyAlignment="1">
      <alignment horizontal="left" vertical="top" wrapText="1" indent="1"/>
    </xf>
    <xf numFmtId="9" fontId="0" fillId="0" borderId="0" xfId="2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1306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DAD4-1868-4669-870B-914790AAC02F}">
  <dimension ref="A1:E21"/>
  <sheetViews>
    <sheetView tabSelected="1" topLeftCell="A4" zoomScale="145" zoomScaleNormal="145" workbookViewId="0">
      <selection activeCell="C6" sqref="C6"/>
    </sheetView>
  </sheetViews>
  <sheetFormatPr defaultColWidth="38.5703125" defaultRowHeight="15" x14ac:dyDescent="0.25"/>
  <cols>
    <col min="1" max="1" width="33.85546875" customWidth="1"/>
    <col min="2" max="2" width="35" bestFit="1" customWidth="1"/>
    <col min="3" max="3" width="25" bestFit="1" customWidth="1"/>
    <col min="4" max="4" width="19.7109375" bestFit="1" customWidth="1"/>
  </cols>
  <sheetData>
    <row r="1" spans="1:5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5" ht="30" x14ac:dyDescent="0.25">
      <c r="A2" s="2" t="s">
        <v>3</v>
      </c>
      <c r="B2" s="3">
        <f>2094.08+2188.23</f>
        <v>4282.3099999999995</v>
      </c>
      <c r="C2" s="3">
        <v>0</v>
      </c>
      <c r="D2" s="4">
        <f>C2-B2</f>
        <v>-4282.3099999999995</v>
      </c>
    </row>
    <row r="3" spans="1:5" ht="30" x14ac:dyDescent="0.25">
      <c r="A3" s="2" t="s">
        <v>4</v>
      </c>
      <c r="B3" s="4">
        <f>(B2/12)+(B2*0.2)+(1500)</f>
        <v>2713.3211666666666</v>
      </c>
      <c r="C3" s="3">
        <v>0</v>
      </c>
      <c r="D3" s="4">
        <f t="shared" ref="D3:D8" si="0">C3-B3</f>
        <v>-2713.3211666666666</v>
      </c>
    </row>
    <row r="4" spans="1:5" ht="30" x14ac:dyDescent="0.25">
      <c r="A4" s="2" t="s">
        <v>5</v>
      </c>
      <c r="B4" s="4">
        <f>(B2/12)+(B2*0.33)</f>
        <v>1770.0214666666666</v>
      </c>
      <c r="C4" s="3">
        <v>0</v>
      </c>
      <c r="D4" s="4">
        <f t="shared" si="0"/>
        <v>-1770.0214666666666</v>
      </c>
    </row>
    <row r="5" spans="1:5" x14ac:dyDescent="0.25">
      <c r="A5" s="2" t="s">
        <v>6</v>
      </c>
      <c r="B5" s="3">
        <v>250</v>
      </c>
      <c r="C5" s="3">
        <v>0</v>
      </c>
      <c r="D5" s="4">
        <f t="shared" si="0"/>
        <v>-250</v>
      </c>
    </row>
    <row r="6" spans="1:5" ht="30" x14ac:dyDescent="0.25">
      <c r="A6" s="2" t="s">
        <v>7</v>
      </c>
      <c r="B6" s="3">
        <v>0</v>
      </c>
      <c r="C6" s="3">
        <f>(10000/12)+2700</f>
        <v>3533.3333333333335</v>
      </c>
      <c r="D6" s="4">
        <f t="shared" si="0"/>
        <v>3533.3333333333335</v>
      </c>
    </row>
    <row r="7" spans="1:5" ht="30" x14ac:dyDescent="0.25">
      <c r="A7" s="2" t="s">
        <v>8</v>
      </c>
      <c r="B7" s="3">
        <v>0</v>
      </c>
      <c r="C7" s="3">
        <v>300</v>
      </c>
      <c r="D7" s="4">
        <f t="shared" si="0"/>
        <v>300</v>
      </c>
    </row>
    <row r="8" spans="1:5" ht="30" x14ac:dyDescent="0.25">
      <c r="A8" s="2" t="s">
        <v>9</v>
      </c>
      <c r="B8" s="3">
        <v>199</v>
      </c>
      <c r="C8" s="3">
        <v>199</v>
      </c>
      <c r="D8" s="4">
        <f t="shared" si="0"/>
        <v>0</v>
      </c>
    </row>
    <row r="9" spans="1:5" x14ac:dyDescent="0.25">
      <c r="A9" s="2" t="s">
        <v>10</v>
      </c>
      <c r="B9" s="5">
        <f>SUM(B2:B8)</f>
        <v>9214.6526333333331</v>
      </c>
      <c r="C9" s="5">
        <f>SUM(C2:C8)</f>
        <v>4032.3333333333335</v>
      </c>
      <c r="D9" s="6">
        <f>SUM(D2:D8)</f>
        <v>-5182.3192999999992</v>
      </c>
    </row>
    <row r="10" spans="1:5" x14ac:dyDescent="0.25">
      <c r="C10" s="9">
        <f>1-C9/B9</f>
        <v>0.5623998544723583</v>
      </c>
      <c r="E10" s="7"/>
    </row>
    <row r="11" spans="1:5" x14ac:dyDescent="0.25">
      <c r="A11" s="8" t="s">
        <v>12</v>
      </c>
      <c r="B11" s="8" t="s">
        <v>0</v>
      </c>
      <c r="C11" s="8" t="s">
        <v>1</v>
      </c>
      <c r="D11" s="8" t="s">
        <v>11</v>
      </c>
      <c r="E11" s="9"/>
    </row>
    <row r="12" spans="1:5" ht="30" x14ac:dyDescent="0.25">
      <c r="A12" s="2" t="s">
        <v>3</v>
      </c>
      <c r="B12" s="3">
        <f>(2094.08+2188.23)*12</f>
        <v>51387.719999999994</v>
      </c>
      <c r="C12" s="3">
        <v>0</v>
      </c>
      <c r="D12" s="4">
        <f>C12-B12</f>
        <v>-51387.719999999994</v>
      </c>
    </row>
    <row r="13" spans="1:5" ht="30" x14ac:dyDescent="0.25">
      <c r="A13" s="2" t="s">
        <v>4</v>
      </c>
      <c r="B13" s="4">
        <f>((B12/12)+(B12*0.2)+(1500))*12</f>
        <v>192718.24799999999</v>
      </c>
      <c r="C13" s="3">
        <v>0</v>
      </c>
      <c r="D13" s="4">
        <f t="shared" ref="D13:D18" si="1">C13-B13</f>
        <v>-192718.24799999999</v>
      </c>
    </row>
    <row r="14" spans="1:5" ht="30" x14ac:dyDescent="0.25">
      <c r="A14" s="2" t="s">
        <v>5</v>
      </c>
      <c r="B14" s="4">
        <f>B4*6</f>
        <v>10620.128799999999</v>
      </c>
      <c r="C14" s="3">
        <v>0</v>
      </c>
      <c r="D14" s="4">
        <f t="shared" si="1"/>
        <v>-10620.128799999999</v>
      </c>
    </row>
    <row r="15" spans="1:5" x14ac:dyDescent="0.25">
      <c r="A15" s="2" t="s">
        <v>6</v>
      </c>
      <c r="B15" s="3">
        <f>12*250</f>
        <v>3000</v>
      </c>
      <c r="C15" s="3">
        <v>0</v>
      </c>
      <c r="D15" s="4">
        <f t="shared" si="1"/>
        <v>-3000</v>
      </c>
    </row>
    <row r="16" spans="1:5" ht="30" x14ac:dyDescent="0.25">
      <c r="A16" s="2" t="s">
        <v>7</v>
      </c>
      <c r="B16" s="3">
        <v>0</v>
      </c>
      <c r="C16" s="3">
        <f>(12*2700)+10000</f>
        <v>42400</v>
      </c>
      <c r="D16" s="4">
        <f t="shared" si="1"/>
        <v>42400</v>
      </c>
    </row>
    <row r="17" spans="1:4" ht="30" x14ac:dyDescent="0.25">
      <c r="A17" s="2" t="s">
        <v>8</v>
      </c>
      <c r="B17" s="3">
        <v>0</v>
      </c>
      <c r="C17" s="3">
        <f>12*300</f>
        <v>3600</v>
      </c>
      <c r="D17" s="4">
        <f t="shared" si="1"/>
        <v>3600</v>
      </c>
    </row>
    <row r="18" spans="1:4" ht="30" x14ac:dyDescent="0.25">
      <c r="A18" s="2" t="s">
        <v>9</v>
      </c>
      <c r="B18" s="3">
        <f>12*199</f>
        <v>2388</v>
      </c>
      <c r="C18" s="3">
        <f>12*199</f>
        <v>2388</v>
      </c>
      <c r="D18" s="4">
        <f t="shared" si="1"/>
        <v>0</v>
      </c>
    </row>
    <row r="19" spans="1:4" x14ac:dyDescent="0.25">
      <c r="A19" s="2" t="s">
        <v>10</v>
      </c>
      <c r="B19" s="5">
        <f>SUM(B12:B18)</f>
        <v>260114.0968</v>
      </c>
      <c r="C19" s="5">
        <f>SUM(C12:C18)</f>
        <v>48388</v>
      </c>
      <c r="D19" s="6">
        <f>SUM(D12:D18)</f>
        <v>-211726.0968</v>
      </c>
    </row>
    <row r="20" spans="1:4" x14ac:dyDescent="0.25">
      <c r="C20" s="9">
        <f>1-C19/B19</f>
        <v>0.8139739422227269</v>
      </c>
    </row>
    <row r="21" spans="1:4" x14ac:dyDescent="0.25">
      <c r="C21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2025-11-09T00:42:22Z</dcterms:created>
  <dcterms:modified xsi:type="dcterms:W3CDTF">2025-11-09T01:49:00Z</dcterms:modified>
</cp:coreProperties>
</file>