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tosRCR\Village\INADIMPLENCIA\"/>
    </mc:Choice>
  </mc:AlternateContent>
  <xr:revisionPtr revIDLastSave="0" documentId="13_ncr:1_{DFF1A7FD-4495-4754-BD79-73B16054865D}" xr6:coauthVersionLast="46" xr6:coauthVersionMax="46" xr10:uidLastSave="{00000000-0000-0000-0000-000000000000}"/>
  <bookViews>
    <workbookView xWindow="-120" yWindow="-120" windowWidth="29040" windowHeight="15840" activeTab="2" xr2:uid="{79C6B5BA-9DA9-49B3-AA00-7424DFCABCD9}"/>
  </bookViews>
  <sheets>
    <sheet name="Inadimplencia - FEV 2025" sheetId="1" r:id="rId1"/>
    <sheet name="Inadimplencia - Out 2025" sheetId="2" r:id="rId2"/>
    <sheet name="Comparativ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" l="1"/>
  <c r="F4" i="2"/>
  <c r="F2" i="1"/>
  <c r="L20" i="3"/>
  <c r="N20" i="3" s="1"/>
  <c r="K20" i="3"/>
  <c r="K30" i="3"/>
  <c r="I5" i="1"/>
  <c r="I2" i="1"/>
  <c r="J477" i="3"/>
  <c r="K477" i="3" s="1"/>
  <c r="J49" i="3"/>
  <c r="J30" i="3"/>
  <c r="L30" i="3" s="1"/>
  <c r="N30" i="3" s="1"/>
  <c r="J50" i="3"/>
  <c r="K50" i="3" s="1"/>
  <c r="J478" i="3"/>
  <c r="K478" i="3" s="1"/>
  <c r="J479" i="3"/>
  <c r="J480" i="3"/>
  <c r="K480" i="3" s="1"/>
  <c r="J481" i="3"/>
  <c r="K481" i="3" s="1"/>
  <c r="J482" i="3"/>
  <c r="K482" i="3" s="1"/>
  <c r="J483" i="3"/>
  <c r="L483" i="3" s="1"/>
  <c r="J484" i="3"/>
  <c r="L484" i="3" s="1"/>
  <c r="J485" i="3"/>
  <c r="K485" i="3" s="1"/>
  <c r="J486" i="3"/>
  <c r="K486" i="3" s="1"/>
  <c r="J78" i="3"/>
  <c r="J487" i="3"/>
  <c r="J488" i="3"/>
  <c r="K488" i="3" s="1"/>
  <c r="J489" i="3"/>
  <c r="K489" i="3" s="1"/>
  <c r="J490" i="3"/>
  <c r="J491" i="3"/>
  <c r="L491" i="3" s="1"/>
  <c r="J492" i="3"/>
  <c r="K492" i="3" s="1"/>
  <c r="J62" i="3"/>
  <c r="K62" i="3" s="1"/>
  <c r="J493" i="3"/>
  <c r="J494" i="3"/>
  <c r="K494" i="3" s="1"/>
  <c r="J92" i="3"/>
  <c r="K92" i="3" s="1"/>
  <c r="J495" i="3"/>
  <c r="K495" i="3" s="1"/>
  <c r="J496" i="3"/>
  <c r="J497" i="3"/>
  <c r="L497" i="3" s="1"/>
  <c r="J498" i="3"/>
  <c r="K498" i="3" s="1"/>
  <c r="J499" i="3"/>
  <c r="K499" i="3" s="1"/>
  <c r="J500" i="3"/>
  <c r="L500" i="3" s="1"/>
  <c r="J501" i="3"/>
  <c r="K501" i="3" s="1"/>
  <c r="J83" i="3"/>
  <c r="K83" i="3" s="1"/>
  <c r="J502" i="3"/>
  <c r="K502" i="3" s="1"/>
  <c r="J503" i="3"/>
  <c r="J504" i="3"/>
  <c r="K504" i="3" s="1"/>
  <c r="J505" i="3"/>
  <c r="K505" i="3" s="1"/>
  <c r="J506" i="3"/>
  <c r="K506" i="3" s="1"/>
  <c r="J507" i="3"/>
  <c r="J508" i="3"/>
  <c r="K508" i="3" s="1"/>
  <c r="J509" i="3"/>
  <c r="K509" i="3" s="1"/>
  <c r="J35" i="3"/>
  <c r="K35" i="3" s="1"/>
  <c r="J510" i="3"/>
  <c r="L510" i="3" s="1"/>
  <c r="J511" i="3"/>
  <c r="L511" i="3" s="1"/>
  <c r="J512" i="3"/>
  <c r="K512" i="3" s="1"/>
  <c r="J513" i="3"/>
  <c r="K513" i="3" s="1"/>
  <c r="J514" i="3"/>
  <c r="J515" i="3"/>
  <c r="K515" i="3" s="1"/>
  <c r="J86" i="3"/>
  <c r="K86" i="3" s="1"/>
  <c r="J516" i="3"/>
  <c r="K516" i="3" s="1"/>
  <c r="J517" i="3"/>
  <c r="J518" i="3"/>
  <c r="L518" i="3" s="1"/>
  <c r="J519" i="3"/>
  <c r="K519" i="3" s="1"/>
  <c r="J520" i="3"/>
  <c r="K520" i="3" s="1"/>
  <c r="J521" i="3"/>
  <c r="J59" i="3"/>
  <c r="K59" i="3" s="1"/>
  <c r="J10" i="3"/>
  <c r="K10" i="3" s="1"/>
  <c r="J522" i="3"/>
  <c r="K522" i="3" s="1"/>
  <c r="J523" i="3"/>
  <c r="J524" i="3"/>
  <c r="L524" i="3" s="1"/>
  <c r="J525" i="3"/>
  <c r="K525" i="3" s="1"/>
  <c r="J526" i="3"/>
  <c r="K526" i="3" s="1"/>
  <c r="J527" i="3"/>
  <c r="L527" i="3" s="1"/>
  <c r="J528" i="3"/>
  <c r="K528" i="3" s="1"/>
  <c r="J529" i="3"/>
  <c r="K529" i="3" s="1"/>
  <c r="J530" i="3"/>
  <c r="K530" i="3" s="1"/>
  <c r="J531" i="3"/>
  <c r="J532" i="3"/>
  <c r="K532" i="3" s="1"/>
  <c r="J74" i="3"/>
  <c r="K74" i="3" s="1"/>
  <c r="J533" i="3"/>
  <c r="K533" i="3" s="1"/>
  <c r="J40" i="3"/>
  <c r="J18" i="3"/>
  <c r="K18" i="3" s="1"/>
  <c r="J80" i="3"/>
  <c r="K80" i="3" s="1"/>
  <c r="J101" i="3"/>
  <c r="K101" i="3" s="1"/>
  <c r="J534" i="3"/>
  <c r="L534" i="3" s="1"/>
  <c r="J535" i="3"/>
  <c r="L535" i="3" s="1"/>
  <c r="J68" i="3"/>
  <c r="K68" i="3" s="1"/>
  <c r="J536" i="3"/>
  <c r="K536" i="3" s="1"/>
  <c r="J53" i="3"/>
  <c r="J33" i="3"/>
  <c r="K33" i="3" s="1"/>
  <c r="J537" i="3"/>
  <c r="K537" i="3" s="1"/>
  <c r="J538" i="3"/>
  <c r="K538" i="3" s="1"/>
  <c r="J539" i="3"/>
  <c r="J540" i="3"/>
  <c r="L540" i="3" s="1"/>
  <c r="J541" i="3"/>
  <c r="K541" i="3" s="1"/>
  <c r="J542" i="3"/>
  <c r="K542" i="3" s="1"/>
  <c r="J543" i="3"/>
  <c r="J544" i="3"/>
  <c r="K544" i="3" s="1"/>
  <c r="J545" i="3"/>
  <c r="K545" i="3" s="1"/>
  <c r="J546" i="3"/>
  <c r="K546" i="3" s="1"/>
  <c r="J547" i="3"/>
  <c r="J548" i="3"/>
  <c r="L548" i="3" s="1"/>
  <c r="J549" i="3"/>
  <c r="K549" i="3" s="1"/>
  <c r="J550" i="3"/>
  <c r="K550" i="3" s="1"/>
  <c r="J476" i="3"/>
  <c r="J395" i="3"/>
  <c r="J396" i="3"/>
  <c r="K396" i="3" s="1"/>
  <c r="J397" i="3"/>
  <c r="J398" i="3"/>
  <c r="L398" i="3" s="1"/>
  <c r="J5" i="3"/>
  <c r="J399" i="3"/>
  <c r="K399" i="3" s="1"/>
  <c r="J400" i="3"/>
  <c r="J401" i="3"/>
  <c r="K401" i="3" s="1"/>
  <c r="J402" i="3"/>
  <c r="J403" i="3"/>
  <c r="K403" i="3" s="1"/>
  <c r="J404" i="3"/>
  <c r="J39" i="3"/>
  <c r="J87" i="3"/>
  <c r="J405" i="3"/>
  <c r="K405" i="3" s="1"/>
  <c r="J3" i="3"/>
  <c r="J406" i="3"/>
  <c r="K406" i="3" s="1"/>
  <c r="J407" i="3"/>
  <c r="J408" i="3"/>
  <c r="K408" i="3" s="1"/>
  <c r="J47" i="3"/>
  <c r="J409" i="3"/>
  <c r="J410" i="3"/>
  <c r="J411" i="3"/>
  <c r="K411" i="3" s="1"/>
  <c r="J412" i="3"/>
  <c r="J413" i="3"/>
  <c r="K413" i="3" s="1"/>
  <c r="J414" i="3"/>
  <c r="J415" i="3"/>
  <c r="K415" i="3" s="1"/>
  <c r="J46" i="3"/>
  <c r="J416" i="3"/>
  <c r="J417" i="3"/>
  <c r="J418" i="3"/>
  <c r="K418" i="3" s="1"/>
  <c r="J419" i="3"/>
  <c r="J420" i="3"/>
  <c r="J421" i="3"/>
  <c r="J27" i="3"/>
  <c r="K27" i="3" s="1"/>
  <c r="J71" i="3"/>
  <c r="J422" i="3"/>
  <c r="J423" i="3"/>
  <c r="J424" i="3"/>
  <c r="K424" i="3" s="1"/>
  <c r="J425" i="3"/>
  <c r="J426" i="3"/>
  <c r="K426" i="3" s="1"/>
  <c r="J427" i="3"/>
  <c r="J428" i="3"/>
  <c r="K428" i="3" s="1"/>
  <c r="J429" i="3"/>
  <c r="J430" i="3"/>
  <c r="L430" i="3" s="1"/>
  <c r="J431" i="3"/>
  <c r="J34" i="3"/>
  <c r="K34" i="3" s="1"/>
  <c r="J432" i="3"/>
  <c r="J36" i="3"/>
  <c r="K36" i="3" s="1"/>
  <c r="J433" i="3"/>
  <c r="J67" i="3"/>
  <c r="K67" i="3" s="1"/>
  <c r="J434" i="3"/>
  <c r="J435" i="3"/>
  <c r="J436" i="3"/>
  <c r="J437" i="3"/>
  <c r="K437" i="3" s="1"/>
  <c r="J438" i="3"/>
  <c r="J69" i="3"/>
  <c r="K69" i="3" s="1"/>
  <c r="J439" i="3"/>
  <c r="J440" i="3"/>
  <c r="K440" i="3" s="1"/>
  <c r="J8" i="3"/>
  <c r="J441" i="3"/>
  <c r="J442" i="3"/>
  <c r="J443" i="3"/>
  <c r="K443" i="3" s="1"/>
  <c r="J444" i="3"/>
  <c r="J445" i="3"/>
  <c r="K445" i="3" s="1"/>
  <c r="J446" i="3"/>
  <c r="J447" i="3"/>
  <c r="K447" i="3" s="1"/>
  <c r="J448" i="3"/>
  <c r="J449" i="3"/>
  <c r="J450" i="3"/>
  <c r="J37" i="3"/>
  <c r="K37" i="3" s="1"/>
  <c r="J451" i="3"/>
  <c r="K451" i="3" s="1"/>
  <c r="J452" i="3"/>
  <c r="J453" i="3"/>
  <c r="L453" i="3" s="1"/>
  <c r="J454" i="3"/>
  <c r="K454" i="3" s="1"/>
  <c r="J455" i="3"/>
  <c r="K455" i="3" s="1"/>
  <c r="J456" i="3"/>
  <c r="K456" i="3" s="1"/>
  <c r="J457" i="3"/>
  <c r="L457" i="3" s="1"/>
  <c r="J458" i="3"/>
  <c r="L458" i="3" s="1"/>
  <c r="J459" i="3"/>
  <c r="K459" i="3" s="1"/>
  <c r="J460" i="3"/>
  <c r="J461" i="3"/>
  <c r="L461" i="3" s="1"/>
  <c r="J462" i="3"/>
  <c r="K462" i="3" s="1"/>
  <c r="J85" i="3"/>
  <c r="K85" i="3" s="1"/>
  <c r="J100" i="3"/>
  <c r="J88" i="3"/>
  <c r="L88" i="3" s="1"/>
  <c r="J463" i="3"/>
  <c r="L463" i="3" s="1"/>
  <c r="J464" i="3"/>
  <c r="K464" i="3" s="1"/>
  <c r="J465" i="3"/>
  <c r="J466" i="3"/>
  <c r="L466" i="3" s="1"/>
  <c r="J467" i="3"/>
  <c r="K467" i="3" s="1"/>
  <c r="J468" i="3"/>
  <c r="K468" i="3" s="1"/>
  <c r="J469" i="3"/>
  <c r="K469" i="3" s="1"/>
  <c r="J470" i="3"/>
  <c r="L470" i="3" s="1"/>
  <c r="J471" i="3"/>
  <c r="L471" i="3" s="1"/>
  <c r="J472" i="3"/>
  <c r="K472" i="3" s="1"/>
  <c r="J473" i="3"/>
  <c r="J474" i="3"/>
  <c r="L474" i="3" s="1"/>
  <c r="J475" i="3"/>
  <c r="K475" i="3" s="1"/>
  <c r="J394" i="3"/>
  <c r="K394" i="3" s="1"/>
  <c r="J63" i="3"/>
  <c r="J90" i="3"/>
  <c r="J348" i="3"/>
  <c r="J349" i="3"/>
  <c r="K349" i="3" s="1"/>
  <c r="J350" i="3"/>
  <c r="J351" i="3"/>
  <c r="J352" i="3"/>
  <c r="J353" i="3"/>
  <c r="J354" i="3"/>
  <c r="K354" i="3" s="1"/>
  <c r="J355" i="3"/>
  <c r="J79" i="3"/>
  <c r="J356" i="3"/>
  <c r="J357" i="3"/>
  <c r="J358" i="3"/>
  <c r="J15" i="3"/>
  <c r="K15" i="3" s="1"/>
  <c r="J359" i="3"/>
  <c r="J360" i="3"/>
  <c r="J361" i="3"/>
  <c r="J362" i="3"/>
  <c r="J84" i="3"/>
  <c r="K84" i="3" s="1"/>
  <c r="J363" i="3"/>
  <c r="J364" i="3"/>
  <c r="J365" i="3"/>
  <c r="J366" i="3"/>
  <c r="J367" i="3"/>
  <c r="L367" i="3" s="1"/>
  <c r="J368" i="3"/>
  <c r="J369" i="3"/>
  <c r="J370" i="3"/>
  <c r="J52" i="3"/>
  <c r="J51" i="3"/>
  <c r="J371" i="3"/>
  <c r="K371" i="3" s="1"/>
  <c r="J12" i="3"/>
  <c r="J372" i="3"/>
  <c r="J373" i="3"/>
  <c r="J374" i="3"/>
  <c r="J375" i="3"/>
  <c r="K375" i="3" s="1"/>
  <c r="J376" i="3"/>
  <c r="J377" i="3"/>
  <c r="J378" i="3"/>
  <c r="J379" i="3"/>
  <c r="J380" i="3"/>
  <c r="J381" i="3"/>
  <c r="J31" i="3"/>
  <c r="J382" i="3"/>
  <c r="J383" i="3"/>
  <c r="J384" i="3"/>
  <c r="K384" i="3" s="1"/>
  <c r="J385" i="3"/>
  <c r="J386" i="3"/>
  <c r="J387" i="3"/>
  <c r="J388" i="3"/>
  <c r="K388" i="3" s="1"/>
  <c r="J4" i="3"/>
  <c r="J56" i="3"/>
  <c r="K56" i="3" s="1"/>
  <c r="J389" i="3"/>
  <c r="J390" i="3"/>
  <c r="L390" i="3" s="1"/>
  <c r="J391" i="3"/>
  <c r="J392" i="3"/>
  <c r="K392" i="3" s="1"/>
  <c r="J393" i="3"/>
  <c r="J347" i="3"/>
  <c r="J304" i="3"/>
  <c r="J305" i="3"/>
  <c r="J306" i="3"/>
  <c r="J45" i="3"/>
  <c r="L45" i="3" s="1"/>
  <c r="J307" i="3"/>
  <c r="J308" i="3"/>
  <c r="J309" i="3"/>
  <c r="J310" i="3"/>
  <c r="J311" i="3"/>
  <c r="K311" i="3" s="1"/>
  <c r="J312" i="3"/>
  <c r="J313" i="3"/>
  <c r="J24" i="3"/>
  <c r="J314" i="3"/>
  <c r="J21" i="3"/>
  <c r="K21" i="3" s="1"/>
  <c r="J315" i="3"/>
  <c r="J316" i="3"/>
  <c r="J317" i="3"/>
  <c r="J318" i="3"/>
  <c r="J319" i="3"/>
  <c r="J66" i="3"/>
  <c r="K66" i="3" s="1"/>
  <c r="J65" i="3"/>
  <c r="J320" i="3"/>
  <c r="J321" i="3"/>
  <c r="J322" i="3"/>
  <c r="J323" i="3"/>
  <c r="L323" i="3" s="1"/>
  <c r="J324" i="3"/>
  <c r="J325" i="3"/>
  <c r="J326" i="3"/>
  <c r="J25" i="3"/>
  <c r="J327" i="3"/>
  <c r="K327" i="3" s="1"/>
  <c r="J70" i="3"/>
  <c r="J328" i="3"/>
  <c r="J329" i="3"/>
  <c r="J330" i="3"/>
  <c r="J331" i="3"/>
  <c r="J332" i="3"/>
  <c r="K332" i="3" s="1"/>
  <c r="J333" i="3"/>
  <c r="J334" i="3"/>
  <c r="J335" i="3"/>
  <c r="J336" i="3"/>
  <c r="J337" i="3"/>
  <c r="K337" i="3" s="1"/>
  <c r="J338" i="3"/>
  <c r="J339" i="3"/>
  <c r="J340" i="3"/>
  <c r="J341" i="3"/>
  <c r="J342" i="3"/>
  <c r="K342" i="3" s="1"/>
  <c r="J48" i="3"/>
  <c r="J343" i="3"/>
  <c r="J99" i="3"/>
  <c r="J344" i="3"/>
  <c r="J345" i="3"/>
  <c r="J346" i="3"/>
  <c r="K346" i="3" s="1"/>
  <c r="J284" i="3"/>
  <c r="J73" i="3"/>
  <c r="J55" i="3"/>
  <c r="J285" i="3"/>
  <c r="L285" i="3" s="1"/>
  <c r="J286" i="3"/>
  <c r="K286" i="3" s="1"/>
  <c r="J287" i="3"/>
  <c r="J288" i="3"/>
  <c r="J289" i="3"/>
  <c r="J290" i="3"/>
  <c r="J291" i="3"/>
  <c r="J292" i="3"/>
  <c r="J293" i="3"/>
  <c r="J294" i="3"/>
  <c r="J295" i="3"/>
  <c r="J296" i="3"/>
  <c r="J297" i="3"/>
  <c r="L297" i="3" s="1"/>
  <c r="J298" i="3"/>
  <c r="J299" i="3"/>
  <c r="J300" i="3"/>
  <c r="J6" i="3"/>
  <c r="J301" i="3"/>
  <c r="K301" i="3" s="1"/>
  <c r="J302" i="3"/>
  <c r="J303" i="3"/>
  <c r="J54" i="3"/>
  <c r="K54" i="3" s="1"/>
  <c r="J194" i="3"/>
  <c r="J195" i="3"/>
  <c r="J196" i="3"/>
  <c r="J197" i="3"/>
  <c r="J198" i="3"/>
  <c r="L198" i="3" s="1"/>
  <c r="J199" i="3"/>
  <c r="J200" i="3"/>
  <c r="J201" i="3"/>
  <c r="J202" i="3"/>
  <c r="J203" i="3"/>
  <c r="K203" i="3" s="1"/>
  <c r="J204" i="3"/>
  <c r="J205" i="3"/>
  <c r="J206" i="3"/>
  <c r="J207" i="3"/>
  <c r="J208" i="3"/>
  <c r="J209" i="3"/>
  <c r="J210" i="3"/>
  <c r="J211" i="3"/>
  <c r="J212" i="3"/>
  <c r="J213" i="3"/>
  <c r="J214" i="3"/>
  <c r="K214" i="3" s="1"/>
  <c r="J215" i="3"/>
  <c r="J94" i="3"/>
  <c r="J95" i="3"/>
  <c r="J216" i="3"/>
  <c r="J96" i="3"/>
  <c r="K96" i="3" s="1"/>
  <c r="J217" i="3"/>
  <c r="J218" i="3"/>
  <c r="J219" i="3"/>
  <c r="J220" i="3"/>
  <c r="J221" i="3"/>
  <c r="J222" i="3"/>
  <c r="J223" i="3"/>
  <c r="J224" i="3"/>
  <c r="J225" i="3"/>
  <c r="J226" i="3"/>
  <c r="J227" i="3"/>
  <c r="K227" i="3" s="1"/>
  <c r="J228" i="3"/>
  <c r="J61" i="3"/>
  <c r="J229" i="3"/>
  <c r="J230" i="3"/>
  <c r="J231" i="3"/>
  <c r="K231" i="3" s="1"/>
  <c r="J232" i="3"/>
  <c r="J233" i="3"/>
  <c r="J234" i="3"/>
  <c r="J13" i="3"/>
  <c r="J235" i="3"/>
  <c r="L235" i="3" s="1"/>
  <c r="J236" i="3"/>
  <c r="J237" i="3"/>
  <c r="J238" i="3"/>
  <c r="J239" i="3"/>
  <c r="J240" i="3"/>
  <c r="J241" i="3"/>
  <c r="K241" i="3" s="1"/>
  <c r="J242" i="3"/>
  <c r="J243" i="3"/>
  <c r="J244" i="3"/>
  <c r="J245" i="3"/>
  <c r="J246" i="3"/>
  <c r="K246" i="3" s="1"/>
  <c r="J72" i="3"/>
  <c r="J247" i="3"/>
  <c r="J248" i="3"/>
  <c r="J249" i="3"/>
  <c r="J250" i="3"/>
  <c r="K250" i="3" s="1"/>
  <c r="J251" i="3"/>
  <c r="J252" i="3"/>
  <c r="J253" i="3"/>
  <c r="J254" i="3"/>
  <c r="J255" i="3"/>
  <c r="J11" i="3"/>
  <c r="L11" i="3" s="1"/>
  <c r="J256" i="3"/>
  <c r="J257" i="3"/>
  <c r="J258" i="3"/>
  <c r="J259" i="3"/>
  <c r="J260" i="3"/>
  <c r="K260" i="3" s="1"/>
  <c r="J261" i="3"/>
  <c r="J262" i="3"/>
  <c r="J28" i="3"/>
  <c r="J263" i="3"/>
  <c r="J264" i="3"/>
  <c r="J265" i="3"/>
  <c r="J266" i="3"/>
  <c r="J267" i="3"/>
  <c r="J268" i="3"/>
  <c r="J269" i="3"/>
  <c r="J270" i="3"/>
  <c r="K270" i="3" s="1"/>
  <c r="J271" i="3"/>
  <c r="J272" i="3"/>
  <c r="J273" i="3"/>
  <c r="J274" i="3"/>
  <c r="J275" i="3"/>
  <c r="K275" i="3" s="1"/>
  <c r="J276" i="3"/>
  <c r="J277" i="3"/>
  <c r="J278" i="3"/>
  <c r="J279" i="3"/>
  <c r="J75" i="3"/>
  <c r="J97" i="3"/>
  <c r="J280" i="3"/>
  <c r="J281" i="3"/>
  <c r="J76" i="3"/>
  <c r="J282" i="3"/>
  <c r="J29" i="3"/>
  <c r="L29" i="3" s="1"/>
  <c r="J98" i="3"/>
  <c r="J77" i="3"/>
  <c r="J283" i="3"/>
  <c r="J82" i="3"/>
  <c r="J193" i="3"/>
  <c r="J44" i="3"/>
  <c r="J110" i="3"/>
  <c r="J111" i="3"/>
  <c r="J112" i="3"/>
  <c r="K112" i="3" s="1"/>
  <c r="J113" i="3"/>
  <c r="J114" i="3"/>
  <c r="J115" i="3"/>
  <c r="J19" i="3"/>
  <c r="J116" i="3"/>
  <c r="J117" i="3"/>
  <c r="K117" i="3" s="1"/>
  <c r="J38" i="3"/>
  <c r="J118" i="3"/>
  <c r="J119" i="3"/>
  <c r="J120" i="3"/>
  <c r="J81" i="3"/>
  <c r="K81" i="3" s="1"/>
  <c r="J121" i="3"/>
  <c r="J122" i="3"/>
  <c r="J123" i="3"/>
  <c r="J124" i="3"/>
  <c r="J125" i="3"/>
  <c r="K125" i="3" s="1"/>
  <c r="J126" i="3"/>
  <c r="J127" i="3"/>
  <c r="J91" i="3"/>
  <c r="J16" i="3"/>
  <c r="J128" i="3"/>
  <c r="J129" i="3"/>
  <c r="K129" i="3" s="1"/>
  <c r="J130" i="3"/>
  <c r="J131" i="3"/>
  <c r="J132" i="3"/>
  <c r="J133" i="3"/>
  <c r="L133" i="3" s="1"/>
  <c r="J134" i="3"/>
  <c r="K134" i="3" s="1"/>
  <c r="J23" i="3"/>
  <c r="J135" i="3"/>
  <c r="J136" i="3"/>
  <c r="J137" i="3"/>
  <c r="J138" i="3"/>
  <c r="K138" i="3" s="1"/>
  <c r="J139" i="3"/>
  <c r="J140" i="3"/>
  <c r="J141" i="3"/>
  <c r="J142" i="3"/>
  <c r="J143" i="3"/>
  <c r="L143" i="3" s="1"/>
  <c r="J144" i="3"/>
  <c r="K144" i="3" s="1"/>
  <c r="J42" i="3"/>
  <c r="J41" i="3"/>
  <c r="J145" i="3"/>
  <c r="J146" i="3"/>
  <c r="J89" i="3"/>
  <c r="K89" i="3" s="1"/>
  <c r="J147" i="3"/>
  <c r="J57" i="3"/>
  <c r="J148" i="3"/>
  <c r="J149" i="3"/>
  <c r="L149" i="3" s="1"/>
  <c r="J150" i="3"/>
  <c r="K150" i="3" s="1"/>
  <c r="J93" i="3"/>
  <c r="J64" i="3"/>
  <c r="J26" i="3"/>
  <c r="J151" i="3"/>
  <c r="J152" i="3"/>
  <c r="J153" i="3"/>
  <c r="K153" i="3" s="1"/>
  <c r="J154" i="3"/>
  <c r="J155" i="3"/>
  <c r="J156" i="3"/>
  <c r="J157" i="3"/>
  <c r="J158" i="3"/>
  <c r="K158" i="3" s="1"/>
  <c r="J159" i="3"/>
  <c r="J160" i="3"/>
  <c r="J161" i="3"/>
  <c r="J162" i="3"/>
  <c r="J163" i="3"/>
  <c r="K163" i="3" s="1"/>
  <c r="J164" i="3"/>
  <c r="J165" i="3"/>
  <c r="J166" i="3"/>
  <c r="J32" i="3"/>
  <c r="J167" i="3"/>
  <c r="J168" i="3"/>
  <c r="K168" i="3" s="1"/>
  <c r="J169" i="3"/>
  <c r="J170" i="3"/>
  <c r="J171" i="3"/>
  <c r="J17" i="3"/>
  <c r="J172" i="3"/>
  <c r="K172" i="3" s="1"/>
  <c r="J173" i="3"/>
  <c r="J174" i="3"/>
  <c r="J175" i="3"/>
  <c r="J176" i="3"/>
  <c r="L176" i="3" s="1"/>
  <c r="J177" i="3"/>
  <c r="K177" i="3" s="1"/>
  <c r="J178" i="3"/>
  <c r="J179" i="3"/>
  <c r="J180" i="3"/>
  <c r="J181" i="3"/>
  <c r="J182" i="3"/>
  <c r="J183" i="3"/>
  <c r="K183" i="3" s="1"/>
  <c r="J184" i="3"/>
  <c r="J185" i="3"/>
  <c r="J186" i="3"/>
  <c r="J187" i="3"/>
  <c r="L187" i="3" s="1"/>
  <c r="J188" i="3"/>
  <c r="K188" i="3" s="1"/>
  <c r="J189" i="3"/>
  <c r="J190" i="3"/>
  <c r="J191" i="3"/>
  <c r="J192" i="3"/>
  <c r="J43" i="3"/>
  <c r="J102" i="3"/>
  <c r="L102" i="3" s="1"/>
  <c r="J103" i="3"/>
  <c r="J58" i="3"/>
  <c r="J104" i="3"/>
  <c r="J60" i="3"/>
  <c r="J14" i="3"/>
  <c r="J22" i="3"/>
  <c r="K22" i="3" s="1"/>
  <c r="J7" i="3"/>
  <c r="J105" i="3"/>
  <c r="J106" i="3"/>
  <c r="J107" i="3"/>
  <c r="L107" i="3" s="1"/>
  <c r="J108" i="3"/>
  <c r="J109" i="3"/>
  <c r="J9" i="3"/>
  <c r="E58" i="2"/>
  <c r="E82" i="2"/>
  <c r="E74" i="2"/>
  <c r="E66" i="2"/>
  <c r="E55" i="2"/>
  <c r="E46" i="2"/>
  <c r="E62" i="2"/>
  <c r="E60" i="2"/>
  <c r="E49" i="2"/>
  <c r="E43" i="2"/>
  <c r="E69" i="2"/>
  <c r="E81" i="2"/>
  <c r="E73" i="2"/>
  <c r="E72" i="2"/>
  <c r="E12" i="2"/>
  <c r="E80" i="2"/>
  <c r="D13" i="2"/>
  <c r="E2" i="2" s="1"/>
  <c r="F83" i="2"/>
  <c r="F84" i="2" s="1"/>
  <c r="E48" i="2"/>
  <c r="E76" i="2"/>
  <c r="E70" i="2"/>
  <c r="E64" i="2"/>
  <c r="E71" i="2"/>
  <c r="E54" i="2"/>
  <c r="E79" i="2"/>
  <c r="E47" i="2"/>
  <c r="E68" i="2"/>
  <c r="E65" i="2"/>
  <c r="E78" i="2"/>
  <c r="E75" i="2"/>
  <c r="E38" i="2"/>
  <c r="E40" i="2"/>
  <c r="E51" i="2"/>
  <c r="E77" i="2"/>
  <c r="E35" i="2"/>
  <c r="E41" i="2"/>
  <c r="E59" i="2"/>
  <c r="E36" i="2"/>
  <c r="E56" i="2"/>
  <c r="E42" i="2"/>
  <c r="E45" i="2"/>
  <c r="E61" i="2"/>
  <c r="E67" i="2"/>
  <c r="E53" i="2"/>
  <c r="E37" i="2"/>
  <c r="E50" i="2"/>
  <c r="E32" i="2"/>
  <c r="E44" i="2"/>
  <c r="E39" i="2"/>
  <c r="E26" i="2"/>
  <c r="E28" i="2"/>
  <c r="E27" i="2"/>
  <c r="E33" i="2"/>
  <c r="E25" i="2"/>
  <c r="E52" i="2"/>
  <c r="E34" i="2"/>
  <c r="E24" i="2"/>
  <c r="E21" i="2"/>
  <c r="E15" i="2"/>
  <c r="E57" i="2"/>
  <c r="E20" i="2"/>
  <c r="E23" i="2"/>
  <c r="E22" i="2"/>
  <c r="E19" i="2"/>
  <c r="E29" i="2"/>
  <c r="E18" i="2"/>
  <c r="E17" i="2"/>
  <c r="E16" i="2"/>
  <c r="E14" i="2"/>
  <c r="E63" i="2"/>
  <c r="E11" i="2"/>
  <c r="E8" i="2"/>
  <c r="E10" i="2"/>
  <c r="E9" i="2"/>
  <c r="E7" i="2"/>
  <c r="E6" i="2"/>
  <c r="E5" i="2"/>
  <c r="C4" i="2"/>
  <c r="D4" i="1"/>
  <c r="C4" i="1"/>
  <c r="F86" i="1"/>
  <c r="F87" i="1" s="1"/>
  <c r="E58" i="1"/>
  <c r="E19" i="1"/>
  <c r="E30" i="1"/>
  <c r="E17" i="1"/>
  <c r="E28" i="1"/>
  <c r="E10" i="1"/>
  <c r="E59" i="1"/>
  <c r="E23" i="1"/>
  <c r="E53" i="1"/>
  <c r="E69" i="1"/>
  <c r="E20" i="1"/>
  <c r="E29" i="1"/>
  <c r="E56" i="1"/>
  <c r="E55" i="1"/>
  <c r="E57" i="1"/>
  <c r="E85" i="1"/>
  <c r="E84" i="1"/>
  <c r="E63" i="1"/>
  <c r="E33" i="1"/>
  <c r="E40" i="1"/>
  <c r="E21" i="1"/>
  <c r="E26" i="1"/>
  <c r="E83" i="1"/>
  <c r="E82" i="1"/>
  <c r="E81" i="1"/>
  <c r="E34" i="1"/>
  <c r="E16" i="1"/>
  <c r="E14" i="1"/>
  <c r="E36" i="1"/>
  <c r="E80" i="1"/>
  <c r="E37" i="1"/>
  <c r="E79" i="1"/>
  <c r="E78" i="1"/>
  <c r="E77" i="1"/>
  <c r="E9" i="1"/>
  <c r="E60" i="1"/>
  <c r="E31" i="1"/>
  <c r="E27" i="1"/>
  <c r="E32" i="1"/>
  <c r="E64" i="1"/>
  <c r="E76" i="1"/>
  <c r="E47" i="1"/>
  <c r="E65" i="1"/>
  <c r="E18" i="1"/>
  <c r="E25" i="1"/>
  <c r="E71" i="1"/>
  <c r="E70" i="1"/>
  <c r="E15" i="1"/>
  <c r="E39" i="1"/>
  <c r="E6" i="1"/>
  <c r="E75" i="1"/>
  <c r="E7" i="1"/>
  <c r="E52" i="1"/>
  <c r="E51" i="1"/>
  <c r="E5" i="1"/>
  <c r="E62" i="1"/>
  <c r="E61" i="1"/>
  <c r="E35" i="1"/>
  <c r="E42" i="1"/>
  <c r="E48" i="1"/>
  <c r="E11" i="1"/>
  <c r="E50" i="1"/>
  <c r="E45" i="1"/>
  <c r="E74" i="1"/>
  <c r="E49" i="1"/>
  <c r="E68" i="1"/>
  <c r="E38" i="1"/>
  <c r="E67" i="1"/>
  <c r="E44" i="1"/>
  <c r="E66" i="1"/>
  <c r="E8" i="1"/>
  <c r="E43" i="1"/>
  <c r="E46" i="1"/>
  <c r="E24" i="1"/>
  <c r="E13" i="1"/>
  <c r="E54" i="1"/>
  <c r="E22" i="1"/>
  <c r="E73" i="1"/>
  <c r="E72" i="1"/>
  <c r="E41" i="1"/>
  <c r="E12" i="1"/>
  <c r="E2" i="1"/>
  <c r="L33" i="3" l="1"/>
  <c r="M176" i="3"/>
  <c r="M471" i="3"/>
  <c r="K398" i="3"/>
  <c r="L101" i="3"/>
  <c r="M101" i="3" s="1"/>
  <c r="L445" i="3"/>
  <c r="M445" i="3" s="1"/>
  <c r="L464" i="3"/>
  <c r="M464" i="3" s="1"/>
  <c r="M491" i="3"/>
  <c r="K487" i="3"/>
  <c r="L487" i="3"/>
  <c r="M30" i="3"/>
  <c r="K187" i="3"/>
  <c r="M187" i="3" s="1"/>
  <c r="L522" i="3"/>
  <c r="M522" i="3" s="1"/>
  <c r="L54" i="3"/>
  <c r="N54" i="3" s="1"/>
  <c r="M367" i="3"/>
  <c r="K420" i="3"/>
  <c r="L420" i="3"/>
  <c r="M398" i="3"/>
  <c r="K527" i="3"/>
  <c r="M527" i="3" s="1"/>
  <c r="L482" i="3"/>
  <c r="M482" i="3" s="1"/>
  <c r="M20" i="3"/>
  <c r="L505" i="3"/>
  <c r="M505" i="3" s="1"/>
  <c r="L371" i="3"/>
  <c r="M371" i="3" s="1"/>
  <c r="K518" i="3"/>
  <c r="M518" i="3" s="1"/>
  <c r="K474" i="3"/>
  <c r="M474" i="3" s="1"/>
  <c r="K45" i="3"/>
  <c r="M45" i="3" s="1"/>
  <c r="L519" i="3"/>
  <c r="M519" i="3" s="1"/>
  <c r="L501" i="3"/>
  <c r="M501" i="3" s="1"/>
  <c r="L337" i="3"/>
  <c r="M337" i="3" s="1"/>
  <c r="L270" i="3"/>
  <c r="M270" i="3" s="1"/>
  <c r="L172" i="3"/>
  <c r="M172" i="3" s="1"/>
  <c r="L22" i="3"/>
  <c r="N22" i="3" s="1"/>
  <c r="K540" i="3"/>
  <c r="M540" i="3" s="1"/>
  <c r="K500" i="3"/>
  <c r="M500" i="3" s="1"/>
  <c r="K463" i="3"/>
  <c r="M463" i="3" s="1"/>
  <c r="K29" i="3"/>
  <c r="N29" i="3" s="1"/>
  <c r="L546" i="3"/>
  <c r="M546" i="3" s="1"/>
  <c r="L74" i="3"/>
  <c r="M74" i="3" s="1"/>
  <c r="L515" i="3"/>
  <c r="M515" i="3" s="1"/>
  <c r="L495" i="3"/>
  <c r="M495" i="3" s="1"/>
  <c r="L50" i="3"/>
  <c r="N50" i="3" s="1"/>
  <c r="L462" i="3"/>
  <c r="M462" i="3" s="1"/>
  <c r="L394" i="3"/>
  <c r="M394" i="3" s="1"/>
  <c r="L66" i="3"/>
  <c r="M66" i="3" s="1"/>
  <c r="L231" i="3"/>
  <c r="M231" i="3" s="1"/>
  <c r="L153" i="3"/>
  <c r="M153" i="3" s="1"/>
  <c r="L475" i="3"/>
  <c r="M475" i="3" s="1"/>
  <c r="L81" i="3"/>
  <c r="M81" i="3" s="1"/>
  <c r="K534" i="3"/>
  <c r="M534" i="3" s="1"/>
  <c r="K491" i="3"/>
  <c r="K457" i="3"/>
  <c r="M457" i="3" s="1"/>
  <c r="K235" i="3"/>
  <c r="M235" i="3" s="1"/>
  <c r="L541" i="3"/>
  <c r="M541" i="3" s="1"/>
  <c r="L528" i="3"/>
  <c r="M528" i="3" s="1"/>
  <c r="L35" i="3"/>
  <c r="N35" i="3" s="1"/>
  <c r="L492" i="3"/>
  <c r="M492" i="3" s="1"/>
  <c r="L451" i="3"/>
  <c r="M451" i="3" s="1"/>
  <c r="L388" i="3"/>
  <c r="M388" i="3" s="1"/>
  <c r="L301" i="3"/>
  <c r="M301" i="3" s="1"/>
  <c r="L214" i="3"/>
  <c r="M214" i="3" s="1"/>
  <c r="L138" i="3"/>
  <c r="M138" i="3" s="1"/>
  <c r="K367" i="3"/>
  <c r="L69" i="3"/>
  <c r="M69" i="3" s="1"/>
  <c r="L413" i="3"/>
  <c r="M413" i="3" s="1"/>
  <c r="L250" i="3"/>
  <c r="M250" i="3" s="1"/>
  <c r="K186" i="3"/>
  <c r="L186" i="3"/>
  <c r="M186" i="3" s="1"/>
  <c r="K178" i="3"/>
  <c r="L178" i="3"/>
  <c r="L167" i="3"/>
  <c r="K167" i="3"/>
  <c r="K160" i="3"/>
  <c r="L160" i="3"/>
  <c r="K152" i="3"/>
  <c r="L152" i="3"/>
  <c r="M152" i="3" s="1"/>
  <c r="K132" i="3"/>
  <c r="L132" i="3"/>
  <c r="K126" i="3"/>
  <c r="L126" i="3"/>
  <c r="M126" i="3" s="1"/>
  <c r="K119" i="3"/>
  <c r="L119" i="3"/>
  <c r="K113" i="3"/>
  <c r="L113" i="3"/>
  <c r="M113" i="3" s="1"/>
  <c r="K77" i="3"/>
  <c r="L77" i="3"/>
  <c r="K75" i="3"/>
  <c r="L75" i="3"/>
  <c r="M75" i="3" s="1"/>
  <c r="K272" i="3"/>
  <c r="L272" i="3"/>
  <c r="K268" i="3"/>
  <c r="L268" i="3"/>
  <c r="M268" i="3" s="1"/>
  <c r="K261" i="3"/>
  <c r="L261" i="3"/>
  <c r="K257" i="3"/>
  <c r="L257" i="3"/>
  <c r="M257" i="3" s="1"/>
  <c r="L254" i="3"/>
  <c r="K254" i="3"/>
  <c r="K61" i="3"/>
  <c r="L61" i="3"/>
  <c r="N61" i="3" s="1"/>
  <c r="K221" i="3"/>
  <c r="L221" i="3"/>
  <c r="K94" i="3"/>
  <c r="L94" i="3"/>
  <c r="M94" i="3" s="1"/>
  <c r="K208" i="3"/>
  <c r="L208" i="3"/>
  <c r="K200" i="3"/>
  <c r="L200" i="3"/>
  <c r="M200" i="3" s="1"/>
  <c r="K303" i="3"/>
  <c r="L303" i="3"/>
  <c r="L296" i="3"/>
  <c r="K296" i="3"/>
  <c r="K288" i="3"/>
  <c r="L288" i="3"/>
  <c r="K345" i="3"/>
  <c r="L345" i="3"/>
  <c r="M345" i="3" s="1"/>
  <c r="K339" i="3"/>
  <c r="L339" i="3"/>
  <c r="K331" i="3"/>
  <c r="L331" i="3"/>
  <c r="M331" i="3" s="1"/>
  <c r="K325" i="3"/>
  <c r="L325" i="3"/>
  <c r="K319" i="3"/>
  <c r="L319" i="3"/>
  <c r="M319" i="3" s="1"/>
  <c r="K313" i="3"/>
  <c r="L313" i="3"/>
  <c r="K306" i="3"/>
  <c r="L306" i="3"/>
  <c r="M306" i="3" s="1"/>
  <c r="K389" i="3"/>
  <c r="L389" i="3"/>
  <c r="K380" i="3"/>
  <c r="L380" i="3"/>
  <c r="M380" i="3" s="1"/>
  <c r="K363" i="3"/>
  <c r="L363" i="3"/>
  <c r="K360" i="3"/>
  <c r="L360" i="3"/>
  <c r="M360" i="3" s="1"/>
  <c r="L357" i="3"/>
  <c r="K357" i="3"/>
  <c r="K465" i="3"/>
  <c r="L465" i="3"/>
  <c r="M465" i="3" s="1"/>
  <c r="K100" i="3"/>
  <c r="L100" i="3"/>
  <c r="K460" i="3"/>
  <c r="L460" i="3"/>
  <c r="M460" i="3" s="1"/>
  <c r="K441" i="3"/>
  <c r="L441" i="3"/>
  <c r="L416" i="3"/>
  <c r="K416" i="3"/>
  <c r="K39" i="3"/>
  <c r="L39" i="3"/>
  <c r="K476" i="3"/>
  <c r="L476" i="3"/>
  <c r="M476" i="3" s="1"/>
  <c r="L547" i="3"/>
  <c r="K547" i="3"/>
  <c r="L543" i="3"/>
  <c r="K543" i="3"/>
  <c r="L539" i="3"/>
  <c r="K539" i="3"/>
  <c r="L53" i="3"/>
  <c r="K53" i="3"/>
  <c r="L40" i="3"/>
  <c r="N40" i="3" s="1"/>
  <c r="K40" i="3"/>
  <c r="L531" i="3"/>
  <c r="K531" i="3"/>
  <c r="L523" i="3"/>
  <c r="K523" i="3"/>
  <c r="L521" i="3"/>
  <c r="K521" i="3"/>
  <c r="L517" i="3"/>
  <c r="K517" i="3"/>
  <c r="L514" i="3"/>
  <c r="K514" i="3"/>
  <c r="L507" i="3"/>
  <c r="K507" i="3"/>
  <c r="L503" i="3"/>
  <c r="K503" i="3"/>
  <c r="L493" i="3"/>
  <c r="K493" i="3"/>
  <c r="L490" i="3"/>
  <c r="K490" i="3"/>
  <c r="L78" i="3"/>
  <c r="K78" i="3"/>
  <c r="L479" i="3"/>
  <c r="K479" i="3"/>
  <c r="L49" i="3"/>
  <c r="N49" i="3" s="1"/>
  <c r="K49" i="3"/>
  <c r="K102" i="3"/>
  <c r="M102" i="3" s="1"/>
  <c r="K483" i="3"/>
  <c r="M483" i="3" s="1"/>
  <c r="K143" i="3"/>
  <c r="M143" i="3" s="1"/>
  <c r="L456" i="3"/>
  <c r="M456" i="3" s="1"/>
  <c r="L36" i="3"/>
  <c r="N36" i="3" s="1"/>
  <c r="L406" i="3"/>
  <c r="M406" i="3" s="1"/>
  <c r="K109" i="3"/>
  <c r="L109" i="3"/>
  <c r="K105" i="3"/>
  <c r="L105" i="3"/>
  <c r="M105" i="3" s="1"/>
  <c r="K60" i="3"/>
  <c r="L60" i="3"/>
  <c r="K190" i="3"/>
  <c r="L190" i="3"/>
  <c r="M190" i="3" s="1"/>
  <c r="K182" i="3"/>
  <c r="L182" i="3"/>
  <c r="K174" i="3"/>
  <c r="L174" i="3"/>
  <c r="M174" i="3" s="1"/>
  <c r="K171" i="3"/>
  <c r="L171" i="3"/>
  <c r="K164" i="3"/>
  <c r="L164" i="3"/>
  <c r="M164" i="3" s="1"/>
  <c r="K156" i="3"/>
  <c r="L156" i="3"/>
  <c r="K93" i="3"/>
  <c r="L93" i="3"/>
  <c r="M93" i="3" s="1"/>
  <c r="K57" i="3"/>
  <c r="L57" i="3"/>
  <c r="K145" i="3"/>
  <c r="L145" i="3"/>
  <c r="M145" i="3" s="1"/>
  <c r="K139" i="3"/>
  <c r="L139" i="3"/>
  <c r="K135" i="3"/>
  <c r="L135" i="3"/>
  <c r="M135" i="3" s="1"/>
  <c r="K128" i="3"/>
  <c r="L128" i="3"/>
  <c r="K122" i="3"/>
  <c r="L122" i="3"/>
  <c r="M122" i="3" s="1"/>
  <c r="L116" i="3"/>
  <c r="K116" i="3"/>
  <c r="K44" i="3"/>
  <c r="L44" i="3"/>
  <c r="N44" i="3" s="1"/>
  <c r="L76" i="3"/>
  <c r="K76" i="3"/>
  <c r="K276" i="3"/>
  <c r="L276" i="3"/>
  <c r="M276" i="3" s="1"/>
  <c r="K264" i="3"/>
  <c r="L264" i="3"/>
  <c r="K72" i="3"/>
  <c r="L72" i="3"/>
  <c r="M72" i="3" s="1"/>
  <c r="K243" i="3"/>
  <c r="L243" i="3"/>
  <c r="K239" i="3"/>
  <c r="L239" i="3"/>
  <c r="M239" i="3" s="1"/>
  <c r="K232" i="3"/>
  <c r="L232" i="3"/>
  <c r="L225" i="3"/>
  <c r="K225" i="3"/>
  <c r="K217" i="3"/>
  <c r="L217" i="3"/>
  <c r="K212" i="3"/>
  <c r="L212" i="3"/>
  <c r="M212" i="3" s="1"/>
  <c r="K204" i="3"/>
  <c r="L204" i="3"/>
  <c r="K196" i="3"/>
  <c r="L196" i="3"/>
  <c r="M196" i="3" s="1"/>
  <c r="K300" i="3"/>
  <c r="L300" i="3"/>
  <c r="K292" i="3"/>
  <c r="L292" i="3"/>
  <c r="M292" i="3" s="1"/>
  <c r="K55" i="3"/>
  <c r="L55" i="3"/>
  <c r="K48" i="3"/>
  <c r="L48" i="3"/>
  <c r="N48" i="3" s="1"/>
  <c r="K335" i="3"/>
  <c r="L335" i="3"/>
  <c r="K70" i="3"/>
  <c r="L70" i="3"/>
  <c r="M70" i="3" s="1"/>
  <c r="K321" i="3"/>
  <c r="L321" i="3"/>
  <c r="K315" i="3"/>
  <c r="L315" i="3"/>
  <c r="M315" i="3" s="1"/>
  <c r="K309" i="3"/>
  <c r="L309" i="3"/>
  <c r="K393" i="3"/>
  <c r="L393" i="3"/>
  <c r="M393" i="3" s="1"/>
  <c r="K387" i="3"/>
  <c r="L387" i="3"/>
  <c r="L383" i="3"/>
  <c r="K383" i="3"/>
  <c r="K376" i="3"/>
  <c r="L376" i="3"/>
  <c r="K372" i="3"/>
  <c r="L372" i="3"/>
  <c r="M372" i="3" s="1"/>
  <c r="K52" i="3"/>
  <c r="L52" i="3"/>
  <c r="K350" i="3"/>
  <c r="L350" i="3"/>
  <c r="M350" i="3" s="1"/>
  <c r="K63" i="3"/>
  <c r="L63" i="3"/>
  <c r="K473" i="3"/>
  <c r="L473" i="3"/>
  <c r="M473" i="3" s="1"/>
  <c r="K452" i="3"/>
  <c r="L452" i="3"/>
  <c r="L449" i="3"/>
  <c r="K449" i="3"/>
  <c r="K435" i="3"/>
  <c r="L435" i="3"/>
  <c r="L422" i="3"/>
  <c r="K422" i="3"/>
  <c r="K409" i="3"/>
  <c r="L409" i="3"/>
  <c r="L496" i="3"/>
  <c r="K496" i="3"/>
  <c r="K108" i="3"/>
  <c r="L108" i="3"/>
  <c r="K7" i="3"/>
  <c r="L7" i="3"/>
  <c r="N7" i="3" s="1"/>
  <c r="K104" i="3"/>
  <c r="L104" i="3"/>
  <c r="K43" i="3"/>
  <c r="L43" i="3"/>
  <c r="N43" i="3" s="1"/>
  <c r="K189" i="3"/>
  <c r="L189" i="3"/>
  <c r="K510" i="3"/>
  <c r="M510" i="3" s="1"/>
  <c r="K430" i="3"/>
  <c r="M430" i="3" s="1"/>
  <c r="L469" i="3"/>
  <c r="M469" i="3" s="1"/>
  <c r="L426" i="3"/>
  <c r="M426" i="3" s="1"/>
  <c r="L401" i="3"/>
  <c r="M401" i="3" s="1"/>
  <c r="L354" i="3"/>
  <c r="M354" i="3" s="1"/>
  <c r="K170" i="3"/>
  <c r="L170" i="3"/>
  <c r="K147" i="3"/>
  <c r="L147" i="3"/>
  <c r="M147" i="3" s="1"/>
  <c r="K142" i="3"/>
  <c r="L142" i="3"/>
  <c r="K131" i="3"/>
  <c r="L131" i="3"/>
  <c r="M131" i="3" s="1"/>
  <c r="K98" i="3"/>
  <c r="L98" i="3"/>
  <c r="K279" i="3"/>
  <c r="L279" i="3"/>
  <c r="M279" i="3" s="1"/>
  <c r="K271" i="3"/>
  <c r="L271" i="3"/>
  <c r="K267" i="3"/>
  <c r="L267" i="3"/>
  <c r="M267" i="3" s="1"/>
  <c r="K263" i="3"/>
  <c r="L263" i="3"/>
  <c r="K256" i="3"/>
  <c r="L256" i="3"/>
  <c r="M256" i="3" s="1"/>
  <c r="K253" i="3"/>
  <c r="L253" i="3"/>
  <c r="K249" i="3"/>
  <c r="L249" i="3"/>
  <c r="M249" i="3" s="1"/>
  <c r="K242" i="3"/>
  <c r="L242" i="3"/>
  <c r="K238" i="3"/>
  <c r="L238" i="3"/>
  <c r="M238" i="3" s="1"/>
  <c r="K13" i="3"/>
  <c r="L13" i="3"/>
  <c r="K228" i="3"/>
  <c r="L228" i="3"/>
  <c r="M228" i="3" s="1"/>
  <c r="K224" i="3"/>
  <c r="L224" i="3"/>
  <c r="K220" i="3"/>
  <c r="L220" i="3"/>
  <c r="M220" i="3" s="1"/>
  <c r="K215" i="3"/>
  <c r="L215" i="3"/>
  <c r="K211" i="3"/>
  <c r="L211" i="3"/>
  <c r="M211" i="3" s="1"/>
  <c r="K207" i="3"/>
  <c r="L207" i="3"/>
  <c r="K199" i="3"/>
  <c r="L199" i="3"/>
  <c r="M199" i="3" s="1"/>
  <c r="K195" i="3"/>
  <c r="L195" i="3"/>
  <c r="K302" i="3"/>
  <c r="L302" i="3"/>
  <c r="M302" i="3" s="1"/>
  <c r="K299" i="3"/>
  <c r="L299" i="3"/>
  <c r="K295" i="3"/>
  <c r="L295" i="3"/>
  <c r="M295" i="3" s="1"/>
  <c r="K291" i="3"/>
  <c r="L291" i="3"/>
  <c r="K287" i="3"/>
  <c r="L287" i="3"/>
  <c r="M287" i="3" s="1"/>
  <c r="K73" i="3"/>
  <c r="L73" i="3"/>
  <c r="K344" i="3"/>
  <c r="L344" i="3"/>
  <c r="M344" i="3" s="1"/>
  <c r="K338" i="3"/>
  <c r="L338" i="3"/>
  <c r="K334" i="3"/>
  <c r="L334" i="3"/>
  <c r="M334" i="3" s="1"/>
  <c r="K330" i="3"/>
  <c r="L330" i="3"/>
  <c r="K324" i="3"/>
  <c r="L324" i="3"/>
  <c r="M324" i="3" s="1"/>
  <c r="K320" i="3"/>
  <c r="L320" i="3"/>
  <c r="K318" i="3"/>
  <c r="L318" i="3"/>
  <c r="M318" i="3" s="1"/>
  <c r="K312" i="3"/>
  <c r="L312" i="3"/>
  <c r="K308" i="3"/>
  <c r="L308" i="3"/>
  <c r="M308" i="3" s="1"/>
  <c r="K305" i="3"/>
  <c r="L305" i="3"/>
  <c r="K386" i="3"/>
  <c r="L386" i="3"/>
  <c r="M386" i="3" s="1"/>
  <c r="K382" i="3"/>
  <c r="L382" i="3"/>
  <c r="K379" i="3"/>
  <c r="L379" i="3"/>
  <c r="M379" i="3" s="1"/>
  <c r="K12" i="3"/>
  <c r="L12" i="3"/>
  <c r="K370" i="3"/>
  <c r="L370" i="3"/>
  <c r="M370" i="3" s="1"/>
  <c r="K366" i="3"/>
  <c r="L366" i="3"/>
  <c r="K359" i="3"/>
  <c r="L359" i="3"/>
  <c r="M359" i="3" s="1"/>
  <c r="K356" i="3"/>
  <c r="L356" i="3"/>
  <c r="K353" i="3"/>
  <c r="L353" i="3"/>
  <c r="M353" i="3" s="1"/>
  <c r="K448" i="3"/>
  <c r="L448" i="3"/>
  <c r="K444" i="3"/>
  <c r="L444" i="3"/>
  <c r="M444" i="3" s="1"/>
  <c r="K8" i="3"/>
  <c r="L8" i="3"/>
  <c r="K438" i="3"/>
  <c r="L438" i="3"/>
  <c r="M438" i="3" s="1"/>
  <c r="K434" i="3"/>
  <c r="L434" i="3"/>
  <c r="K432" i="3"/>
  <c r="L432" i="3"/>
  <c r="M432" i="3" s="1"/>
  <c r="K429" i="3"/>
  <c r="L429" i="3"/>
  <c r="K425" i="3"/>
  <c r="L425" i="3"/>
  <c r="M425" i="3" s="1"/>
  <c r="K71" i="3"/>
  <c r="L71" i="3"/>
  <c r="K419" i="3"/>
  <c r="L419" i="3"/>
  <c r="M419" i="3" s="1"/>
  <c r="K46" i="3"/>
  <c r="L46" i="3"/>
  <c r="K412" i="3"/>
  <c r="L412" i="3"/>
  <c r="M412" i="3" s="1"/>
  <c r="K47" i="3"/>
  <c r="L47" i="3"/>
  <c r="K3" i="3"/>
  <c r="L3" i="3"/>
  <c r="N3" i="3" s="1"/>
  <c r="K404" i="3"/>
  <c r="L404" i="3"/>
  <c r="K400" i="3"/>
  <c r="L400" i="3"/>
  <c r="M400" i="3" s="1"/>
  <c r="K397" i="3"/>
  <c r="L397" i="3"/>
  <c r="K548" i="3"/>
  <c r="M548" i="3" s="1"/>
  <c r="K524" i="3"/>
  <c r="M524" i="3" s="1"/>
  <c r="K497" i="3"/>
  <c r="M497" i="3" s="1"/>
  <c r="K471" i="3"/>
  <c r="K88" i="3"/>
  <c r="M88" i="3" s="1"/>
  <c r="K453" i="3"/>
  <c r="M453" i="3" s="1"/>
  <c r="K390" i="3"/>
  <c r="M390" i="3" s="1"/>
  <c r="K297" i="3"/>
  <c r="M297" i="3" s="1"/>
  <c r="K176" i="3"/>
  <c r="K133" i="3"/>
  <c r="M133" i="3" s="1"/>
  <c r="L550" i="3"/>
  <c r="M550" i="3" s="1"/>
  <c r="L545" i="3"/>
  <c r="M545" i="3" s="1"/>
  <c r="L536" i="3"/>
  <c r="M536" i="3" s="1"/>
  <c r="L80" i="3"/>
  <c r="M80" i="3" s="1"/>
  <c r="L532" i="3"/>
  <c r="M532" i="3" s="1"/>
  <c r="L526" i="3"/>
  <c r="M526" i="3" s="1"/>
  <c r="L10" i="3"/>
  <c r="N10" i="3" s="1"/>
  <c r="L513" i="3"/>
  <c r="M513" i="3" s="1"/>
  <c r="L509" i="3"/>
  <c r="M509" i="3" s="1"/>
  <c r="L504" i="3"/>
  <c r="M504" i="3" s="1"/>
  <c r="L499" i="3"/>
  <c r="M499" i="3" s="1"/>
  <c r="L92" i="3"/>
  <c r="M92" i="3" s="1"/>
  <c r="L486" i="3"/>
  <c r="M486" i="3" s="1"/>
  <c r="L481" i="3"/>
  <c r="M481" i="3" s="1"/>
  <c r="L468" i="3"/>
  <c r="M468" i="3" s="1"/>
  <c r="L455" i="3"/>
  <c r="M455" i="3" s="1"/>
  <c r="L37" i="3"/>
  <c r="N37" i="3" s="1"/>
  <c r="L443" i="3"/>
  <c r="M443" i="3" s="1"/>
  <c r="L437" i="3"/>
  <c r="M437" i="3" s="1"/>
  <c r="L34" i="3"/>
  <c r="N34" i="3" s="1"/>
  <c r="L424" i="3"/>
  <c r="M424" i="3" s="1"/>
  <c r="L418" i="3"/>
  <c r="M418" i="3" s="1"/>
  <c r="L411" i="3"/>
  <c r="M411" i="3" s="1"/>
  <c r="L405" i="3"/>
  <c r="M405" i="3" s="1"/>
  <c r="L399" i="3"/>
  <c r="M399" i="3" s="1"/>
  <c r="L392" i="3"/>
  <c r="M392" i="3" s="1"/>
  <c r="L384" i="3"/>
  <c r="M384" i="3" s="1"/>
  <c r="L349" i="3"/>
  <c r="M349" i="3" s="1"/>
  <c r="L332" i="3"/>
  <c r="M332" i="3" s="1"/>
  <c r="L21" i="3"/>
  <c r="N21" i="3" s="1"/>
  <c r="L246" i="3"/>
  <c r="M246" i="3" s="1"/>
  <c r="L227" i="3"/>
  <c r="M227" i="3" s="1"/>
  <c r="L188" i="3"/>
  <c r="M188" i="3" s="1"/>
  <c r="L168" i="3"/>
  <c r="M168" i="3" s="1"/>
  <c r="L150" i="3"/>
  <c r="M150" i="3" s="1"/>
  <c r="L134" i="3"/>
  <c r="M134" i="3" s="1"/>
  <c r="L117" i="3"/>
  <c r="M117" i="3" s="1"/>
  <c r="K181" i="3"/>
  <c r="L181" i="3"/>
  <c r="K173" i="3"/>
  <c r="L173" i="3"/>
  <c r="K32" i="3"/>
  <c r="L32" i="3"/>
  <c r="N32" i="3" s="1"/>
  <c r="K159" i="3"/>
  <c r="L159" i="3"/>
  <c r="K23" i="3"/>
  <c r="L23" i="3"/>
  <c r="N23" i="3" s="1"/>
  <c r="K16" i="3"/>
  <c r="L16" i="3"/>
  <c r="K118" i="3"/>
  <c r="L118" i="3"/>
  <c r="K58" i="3"/>
  <c r="L58" i="3"/>
  <c r="K192" i="3"/>
  <c r="L192" i="3"/>
  <c r="K184" i="3"/>
  <c r="L184" i="3"/>
  <c r="K42" i="3"/>
  <c r="L42" i="3"/>
  <c r="N42" i="3" s="1"/>
  <c r="K141" i="3"/>
  <c r="L141" i="3"/>
  <c r="K137" i="3"/>
  <c r="L137" i="3"/>
  <c r="K115" i="3"/>
  <c r="L115" i="3"/>
  <c r="K82" i="3"/>
  <c r="L82" i="3"/>
  <c r="K28" i="3"/>
  <c r="L28" i="3"/>
  <c r="K252" i="3"/>
  <c r="L252" i="3"/>
  <c r="K248" i="3"/>
  <c r="L248" i="3"/>
  <c r="K245" i="3"/>
  <c r="L245" i="3"/>
  <c r="K219" i="3"/>
  <c r="L219" i="3"/>
  <c r="K210" i="3"/>
  <c r="L210" i="3"/>
  <c r="K206" i="3"/>
  <c r="L206" i="3"/>
  <c r="K202" i="3"/>
  <c r="L202" i="3"/>
  <c r="K194" i="3"/>
  <c r="L194" i="3"/>
  <c r="K298" i="3"/>
  <c r="L298" i="3"/>
  <c r="K294" i="3"/>
  <c r="L294" i="3"/>
  <c r="K290" i="3"/>
  <c r="L290" i="3"/>
  <c r="K284" i="3"/>
  <c r="L284" i="3"/>
  <c r="K99" i="3"/>
  <c r="L99" i="3"/>
  <c r="K341" i="3"/>
  <c r="L341" i="3"/>
  <c r="K333" i="3"/>
  <c r="L333" i="3"/>
  <c r="K329" i="3"/>
  <c r="L329" i="3"/>
  <c r="K25" i="3"/>
  <c r="L25" i="3"/>
  <c r="N25" i="3" s="1"/>
  <c r="K65" i="3"/>
  <c r="L65" i="3"/>
  <c r="K317" i="3"/>
  <c r="L317" i="3"/>
  <c r="K314" i="3"/>
  <c r="L314" i="3"/>
  <c r="K307" i="3"/>
  <c r="L307" i="3"/>
  <c r="K304" i="3"/>
  <c r="L304" i="3"/>
  <c r="K391" i="3"/>
  <c r="L391" i="3"/>
  <c r="K4" i="3"/>
  <c r="L4" i="3"/>
  <c r="K385" i="3"/>
  <c r="L385" i="3"/>
  <c r="K31" i="3"/>
  <c r="L31" i="3"/>
  <c r="K378" i="3"/>
  <c r="L378" i="3"/>
  <c r="K374" i="3"/>
  <c r="L374" i="3"/>
  <c r="K369" i="3"/>
  <c r="L369" i="3"/>
  <c r="K365" i="3"/>
  <c r="L365" i="3"/>
  <c r="K362" i="3"/>
  <c r="L362" i="3"/>
  <c r="K79" i="3"/>
  <c r="L79" i="3"/>
  <c r="K352" i="3"/>
  <c r="L352" i="3"/>
  <c r="K348" i="3"/>
  <c r="L348" i="3"/>
  <c r="K470" i="3"/>
  <c r="M470" i="3" s="1"/>
  <c r="K461" i="3"/>
  <c r="M461" i="3" s="1"/>
  <c r="K11" i="3"/>
  <c r="N11" i="3" s="1"/>
  <c r="L549" i="3"/>
  <c r="M549" i="3" s="1"/>
  <c r="L544" i="3"/>
  <c r="M544" i="3" s="1"/>
  <c r="L538" i="3"/>
  <c r="M538" i="3" s="1"/>
  <c r="L68" i="3"/>
  <c r="M68" i="3" s="1"/>
  <c r="L18" i="3"/>
  <c r="N18" i="3" s="1"/>
  <c r="L530" i="3"/>
  <c r="M530" i="3" s="1"/>
  <c r="L525" i="3"/>
  <c r="M525" i="3" s="1"/>
  <c r="L59" i="3"/>
  <c r="N59" i="3" s="1"/>
  <c r="L516" i="3"/>
  <c r="M516" i="3" s="1"/>
  <c r="L512" i="3"/>
  <c r="M512" i="3" s="1"/>
  <c r="L508" i="3"/>
  <c r="M508" i="3" s="1"/>
  <c r="L502" i="3"/>
  <c r="M502" i="3" s="1"/>
  <c r="L498" i="3"/>
  <c r="M498" i="3" s="1"/>
  <c r="L494" i="3"/>
  <c r="M494" i="3" s="1"/>
  <c r="L489" i="3"/>
  <c r="M489" i="3" s="1"/>
  <c r="L485" i="3"/>
  <c r="M485" i="3" s="1"/>
  <c r="L480" i="3"/>
  <c r="M480" i="3" s="1"/>
  <c r="L477" i="3"/>
  <c r="M477" i="3" s="1"/>
  <c r="L472" i="3"/>
  <c r="M472" i="3" s="1"/>
  <c r="L467" i="3"/>
  <c r="M467" i="3" s="1"/>
  <c r="L459" i="3"/>
  <c r="M459" i="3" s="1"/>
  <c r="L454" i="3"/>
  <c r="M454" i="3" s="1"/>
  <c r="L84" i="3"/>
  <c r="M84" i="3" s="1"/>
  <c r="L346" i="3"/>
  <c r="M346" i="3" s="1"/>
  <c r="L327" i="3"/>
  <c r="M327" i="3" s="1"/>
  <c r="L311" i="3"/>
  <c r="M311" i="3" s="1"/>
  <c r="L260" i="3"/>
  <c r="M260" i="3" s="1"/>
  <c r="L241" i="3"/>
  <c r="M241" i="3" s="1"/>
  <c r="L203" i="3"/>
  <c r="M203" i="3" s="1"/>
  <c r="L183" i="3"/>
  <c r="M183" i="3" s="1"/>
  <c r="L163" i="3"/>
  <c r="M163" i="3" s="1"/>
  <c r="L89" i="3"/>
  <c r="M89" i="3" s="1"/>
  <c r="L129" i="3"/>
  <c r="M129" i="3" s="1"/>
  <c r="L112" i="3"/>
  <c r="M112" i="3" s="1"/>
  <c r="K185" i="3"/>
  <c r="L185" i="3"/>
  <c r="M185" i="3" s="1"/>
  <c r="K155" i="3"/>
  <c r="L155" i="3"/>
  <c r="K151" i="3"/>
  <c r="L151" i="3"/>
  <c r="M151" i="3" s="1"/>
  <c r="K41" i="3"/>
  <c r="L41" i="3"/>
  <c r="K121" i="3"/>
  <c r="L121" i="3"/>
  <c r="M121" i="3" s="1"/>
  <c r="K19" i="3"/>
  <c r="L19" i="3"/>
  <c r="K193" i="3"/>
  <c r="L193" i="3"/>
  <c r="M193" i="3" s="1"/>
  <c r="K281" i="3"/>
  <c r="L281" i="3"/>
  <c r="K180" i="3"/>
  <c r="L180" i="3"/>
  <c r="M180" i="3" s="1"/>
  <c r="K169" i="3"/>
  <c r="L169" i="3"/>
  <c r="K166" i="3"/>
  <c r="L166" i="3"/>
  <c r="M166" i="3" s="1"/>
  <c r="K162" i="3"/>
  <c r="L162" i="3"/>
  <c r="K154" i="3"/>
  <c r="L154" i="3"/>
  <c r="M154" i="3" s="1"/>
  <c r="K26" i="3"/>
  <c r="L26" i="3"/>
  <c r="K130" i="3"/>
  <c r="L130" i="3"/>
  <c r="M130" i="3" s="1"/>
  <c r="K91" i="3"/>
  <c r="L91" i="3"/>
  <c r="K124" i="3"/>
  <c r="L124" i="3"/>
  <c r="M124" i="3" s="1"/>
  <c r="K38" i="3"/>
  <c r="L38" i="3"/>
  <c r="K111" i="3"/>
  <c r="L111" i="3"/>
  <c r="M111" i="3" s="1"/>
  <c r="K280" i="3"/>
  <c r="L280" i="3"/>
  <c r="K278" i="3"/>
  <c r="L278" i="3"/>
  <c r="M278" i="3" s="1"/>
  <c r="K274" i="3"/>
  <c r="L274" i="3"/>
  <c r="K266" i="3"/>
  <c r="L266" i="3"/>
  <c r="M266" i="3" s="1"/>
  <c r="K259" i="3"/>
  <c r="L259" i="3"/>
  <c r="K237" i="3"/>
  <c r="L237" i="3"/>
  <c r="M237" i="3" s="1"/>
  <c r="K234" i="3"/>
  <c r="L234" i="3"/>
  <c r="K230" i="3"/>
  <c r="L230" i="3"/>
  <c r="M230" i="3" s="1"/>
  <c r="K223" i="3"/>
  <c r="L223" i="3"/>
  <c r="K216" i="3"/>
  <c r="L216" i="3"/>
  <c r="M216" i="3" s="1"/>
  <c r="K9" i="3"/>
  <c r="L9" i="3"/>
  <c r="K106" i="3"/>
  <c r="L106" i="3"/>
  <c r="M106" i="3" s="1"/>
  <c r="K14" i="3"/>
  <c r="L14" i="3"/>
  <c r="K103" i="3"/>
  <c r="L103" i="3"/>
  <c r="M103" i="3" s="1"/>
  <c r="K191" i="3"/>
  <c r="L191" i="3"/>
  <c r="K179" i="3"/>
  <c r="L179" i="3"/>
  <c r="M179" i="3" s="1"/>
  <c r="K175" i="3"/>
  <c r="L175" i="3"/>
  <c r="K17" i="3"/>
  <c r="L17" i="3"/>
  <c r="N17" i="3" s="1"/>
  <c r="K165" i="3"/>
  <c r="L165" i="3"/>
  <c r="K161" i="3"/>
  <c r="L161" i="3"/>
  <c r="M161" i="3" s="1"/>
  <c r="K157" i="3"/>
  <c r="L157" i="3"/>
  <c r="K64" i="3"/>
  <c r="L64" i="3"/>
  <c r="N64" i="3" s="1"/>
  <c r="K148" i="3"/>
  <c r="L148" i="3"/>
  <c r="K146" i="3"/>
  <c r="L146" i="3"/>
  <c r="M146" i="3" s="1"/>
  <c r="K140" i="3"/>
  <c r="L140" i="3"/>
  <c r="K136" i="3"/>
  <c r="L136" i="3"/>
  <c r="M136" i="3" s="1"/>
  <c r="K127" i="3"/>
  <c r="L127" i="3"/>
  <c r="K123" i="3"/>
  <c r="L123" i="3"/>
  <c r="M123" i="3" s="1"/>
  <c r="K120" i="3"/>
  <c r="L120" i="3"/>
  <c r="K114" i="3"/>
  <c r="L114" i="3"/>
  <c r="M114" i="3" s="1"/>
  <c r="K110" i="3"/>
  <c r="L110" i="3"/>
  <c r="K283" i="3"/>
  <c r="L283" i="3"/>
  <c r="M283" i="3" s="1"/>
  <c r="K282" i="3"/>
  <c r="L282" i="3"/>
  <c r="K97" i="3"/>
  <c r="L97" i="3"/>
  <c r="M97" i="3" s="1"/>
  <c r="K277" i="3"/>
  <c r="L277" i="3"/>
  <c r="K273" i="3"/>
  <c r="L273" i="3"/>
  <c r="M273" i="3" s="1"/>
  <c r="K269" i="3"/>
  <c r="L269" i="3"/>
  <c r="K265" i="3"/>
  <c r="L265" i="3"/>
  <c r="M265" i="3" s="1"/>
  <c r="K262" i="3"/>
  <c r="L262" i="3"/>
  <c r="K258" i="3"/>
  <c r="L258" i="3"/>
  <c r="M258" i="3" s="1"/>
  <c r="K255" i="3"/>
  <c r="L255" i="3"/>
  <c r="K251" i="3"/>
  <c r="L251" i="3"/>
  <c r="M251" i="3" s="1"/>
  <c r="K247" i="3"/>
  <c r="L247" i="3"/>
  <c r="K244" i="3"/>
  <c r="L244" i="3"/>
  <c r="M244" i="3" s="1"/>
  <c r="K240" i="3"/>
  <c r="L240" i="3"/>
  <c r="K236" i="3"/>
  <c r="L236" i="3"/>
  <c r="M236" i="3" s="1"/>
  <c r="K233" i="3"/>
  <c r="L233" i="3"/>
  <c r="K229" i="3"/>
  <c r="L229" i="3"/>
  <c r="M229" i="3" s="1"/>
  <c r="K226" i="3"/>
  <c r="L226" i="3"/>
  <c r="K222" i="3"/>
  <c r="L222" i="3"/>
  <c r="M222" i="3" s="1"/>
  <c r="K218" i="3"/>
  <c r="L218" i="3"/>
  <c r="K95" i="3"/>
  <c r="L95" i="3"/>
  <c r="M95" i="3" s="1"/>
  <c r="K213" i="3"/>
  <c r="L213" i="3"/>
  <c r="K209" i="3"/>
  <c r="L209" i="3"/>
  <c r="M209" i="3" s="1"/>
  <c r="K205" i="3"/>
  <c r="L205" i="3"/>
  <c r="K201" i="3"/>
  <c r="L201" i="3"/>
  <c r="M201" i="3" s="1"/>
  <c r="K197" i="3"/>
  <c r="L197" i="3"/>
  <c r="K6" i="3"/>
  <c r="L6" i="3"/>
  <c r="N6" i="3" s="1"/>
  <c r="K293" i="3"/>
  <c r="L293" i="3"/>
  <c r="K289" i="3"/>
  <c r="L289" i="3"/>
  <c r="M289" i="3" s="1"/>
  <c r="K343" i="3"/>
  <c r="L343" i="3"/>
  <c r="K340" i="3"/>
  <c r="L340" i="3"/>
  <c r="M340" i="3" s="1"/>
  <c r="K336" i="3"/>
  <c r="L336" i="3"/>
  <c r="K328" i="3"/>
  <c r="L328" i="3"/>
  <c r="M328" i="3" s="1"/>
  <c r="K326" i="3"/>
  <c r="L326" i="3"/>
  <c r="K322" i="3"/>
  <c r="L322" i="3"/>
  <c r="M322" i="3" s="1"/>
  <c r="K316" i="3"/>
  <c r="L316" i="3"/>
  <c r="K24" i="3"/>
  <c r="L24" i="3"/>
  <c r="N24" i="3" s="1"/>
  <c r="K310" i="3"/>
  <c r="L310" i="3"/>
  <c r="K347" i="3"/>
  <c r="L347" i="3"/>
  <c r="M347" i="3" s="1"/>
  <c r="K381" i="3"/>
  <c r="L381" i="3"/>
  <c r="K377" i="3"/>
  <c r="L377" i="3"/>
  <c r="M377" i="3" s="1"/>
  <c r="K373" i="3"/>
  <c r="L373" i="3"/>
  <c r="K51" i="3"/>
  <c r="L51" i="3"/>
  <c r="N51" i="3" s="1"/>
  <c r="K368" i="3"/>
  <c r="L368" i="3"/>
  <c r="K364" i="3"/>
  <c r="L364" i="3"/>
  <c r="M364" i="3" s="1"/>
  <c r="K361" i="3"/>
  <c r="L361" i="3"/>
  <c r="K358" i="3"/>
  <c r="L358" i="3"/>
  <c r="M358" i="3" s="1"/>
  <c r="K355" i="3"/>
  <c r="L355" i="3"/>
  <c r="K351" i="3"/>
  <c r="L351" i="3"/>
  <c r="M351" i="3" s="1"/>
  <c r="K90" i="3"/>
  <c r="L90" i="3"/>
  <c r="K450" i="3"/>
  <c r="L450" i="3"/>
  <c r="M450" i="3" s="1"/>
  <c r="K446" i="3"/>
  <c r="L446" i="3"/>
  <c r="K442" i="3"/>
  <c r="L442" i="3"/>
  <c r="M442" i="3" s="1"/>
  <c r="K439" i="3"/>
  <c r="L439" i="3"/>
  <c r="K436" i="3"/>
  <c r="L436" i="3"/>
  <c r="M436" i="3" s="1"/>
  <c r="K433" i="3"/>
  <c r="L433" i="3"/>
  <c r="K431" i="3"/>
  <c r="L431" i="3"/>
  <c r="M431" i="3" s="1"/>
  <c r="K427" i="3"/>
  <c r="L427" i="3"/>
  <c r="K423" i="3"/>
  <c r="L423" i="3"/>
  <c r="M423" i="3" s="1"/>
  <c r="K421" i="3"/>
  <c r="L421" i="3"/>
  <c r="K417" i="3"/>
  <c r="L417" i="3"/>
  <c r="M417" i="3" s="1"/>
  <c r="K414" i="3"/>
  <c r="L414" i="3"/>
  <c r="K410" i="3"/>
  <c r="L410" i="3"/>
  <c r="M410" i="3" s="1"/>
  <c r="K407" i="3"/>
  <c r="L407" i="3"/>
  <c r="K87" i="3"/>
  <c r="L87" i="3"/>
  <c r="M87" i="3" s="1"/>
  <c r="K402" i="3"/>
  <c r="L402" i="3"/>
  <c r="K5" i="3"/>
  <c r="L5" i="3"/>
  <c r="N5" i="3" s="1"/>
  <c r="K395" i="3"/>
  <c r="L395" i="3"/>
  <c r="K535" i="3"/>
  <c r="M535" i="3" s="1"/>
  <c r="K511" i="3"/>
  <c r="M511" i="3" s="1"/>
  <c r="K484" i="3"/>
  <c r="M484" i="3" s="1"/>
  <c r="K466" i="3"/>
  <c r="M466" i="3" s="1"/>
  <c r="K458" i="3"/>
  <c r="M458" i="3" s="1"/>
  <c r="K323" i="3"/>
  <c r="M323" i="3" s="1"/>
  <c r="K285" i="3"/>
  <c r="M285" i="3" s="1"/>
  <c r="K198" i="3"/>
  <c r="M198" i="3" s="1"/>
  <c r="K149" i="3"/>
  <c r="M149" i="3" s="1"/>
  <c r="K107" i="3"/>
  <c r="M107" i="3" s="1"/>
  <c r="L542" i="3"/>
  <c r="M542" i="3" s="1"/>
  <c r="L537" i="3"/>
  <c r="M537" i="3" s="1"/>
  <c r="L533" i="3"/>
  <c r="M533" i="3" s="1"/>
  <c r="L529" i="3"/>
  <c r="M529" i="3" s="1"/>
  <c r="L520" i="3"/>
  <c r="M520" i="3" s="1"/>
  <c r="L86" i="3"/>
  <c r="M86" i="3" s="1"/>
  <c r="L506" i="3"/>
  <c r="M506" i="3" s="1"/>
  <c r="L83" i="3"/>
  <c r="M83" i="3" s="1"/>
  <c r="L62" i="3"/>
  <c r="N62" i="3" s="1"/>
  <c r="L488" i="3"/>
  <c r="M488" i="3" s="1"/>
  <c r="L478" i="3"/>
  <c r="M478" i="3" s="1"/>
  <c r="L85" i="3"/>
  <c r="M85" i="3" s="1"/>
  <c r="L447" i="3"/>
  <c r="M447" i="3" s="1"/>
  <c r="L440" i="3"/>
  <c r="M440" i="3" s="1"/>
  <c r="L67" i="3"/>
  <c r="M67" i="3" s="1"/>
  <c r="L428" i="3"/>
  <c r="M428" i="3" s="1"/>
  <c r="L27" i="3"/>
  <c r="N27" i="3" s="1"/>
  <c r="L415" i="3"/>
  <c r="M415" i="3" s="1"/>
  <c r="L408" i="3"/>
  <c r="M408" i="3" s="1"/>
  <c r="L403" i="3"/>
  <c r="M403" i="3" s="1"/>
  <c r="L396" i="3"/>
  <c r="M396" i="3" s="1"/>
  <c r="L56" i="3"/>
  <c r="N56" i="3" s="1"/>
  <c r="L375" i="3"/>
  <c r="M375" i="3" s="1"/>
  <c r="L15" i="3"/>
  <c r="N15" i="3" s="1"/>
  <c r="L342" i="3"/>
  <c r="M342" i="3" s="1"/>
  <c r="L286" i="3"/>
  <c r="M286" i="3" s="1"/>
  <c r="L275" i="3"/>
  <c r="M275" i="3" s="1"/>
  <c r="L96" i="3"/>
  <c r="M96" i="3" s="1"/>
  <c r="L177" i="3"/>
  <c r="M177" i="3" s="1"/>
  <c r="L158" i="3"/>
  <c r="M158" i="3" s="1"/>
  <c r="L144" i="3"/>
  <c r="M144" i="3" s="1"/>
  <c r="L125" i="3"/>
  <c r="M125" i="3" s="1"/>
  <c r="E4" i="1"/>
  <c r="D4" i="2"/>
  <c r="E13" i="2"/>
  <c r="E4" i="2" s="1"/>
  <c r="M395" i="3" l="1"/>
  <c r="M402" i="3"/>
  <c r="M407" i="3"/>
  <c r="M414" i="3"/>
  <c r="M421" i="3"/>
  <c r="M427" i="3"/>
  <c r="M433" i="3"/>
  <c r="M439" i="3"/>
  <c r="M446" i="3"/>
  <c r="M90" i="3"/>
  <c r="M355" i="3"/>
  <c r="M361" i="3"/>
  <c r="M368" i="3"/>
  <c r="M373" i="3"/>
  <c r="M381" i="3"/>
  <c r="M310" i="3"/>
  <c r="M316" i="3"/>
  <c r="M326" i="3"/>
  <c r="M336" i="3"/>
  <c r="M343" i="3"/>
  <c r="M293" i="3"/>
  <c r="M197" i="3"/>
  <c r="M205" i="3"/>
  <c r="M213" i="3"/>
  <c r="M218" i="3"/>
  <c r="M226" i="3"/>
  <c r="M233" i="3"/>
  <c r="M240" i="3"/>
  <c r="M247" i="3"/>
  <c r="M255" i="3"/>
  <c r="M262" i="3"/>
  <c r="M269" i="3"/>
  <c r="M277" i="3"/>
  <c r="M282" i="3"/>
  <c r="M110" i="3"/>
  <c r="M120" i="3"/>
  <c r="M127" i="3"/>
  <c r="M140" i="3"/>
  <c r="M148" i="3"/>
  <c r="M157" i="3"/>
  <c r="M165" i="3"/>
  <c r="M175" i="3"/>
  <c r="M191" i="3"/>
  <c r="N14" i="3"/>
  <c r="N9" i="3"/>
  <c r="M223" i="3"/>
  <c r="M234" i="3"/>
  <c r="M259" i="3"/>
  <c r="M274" i="3"/>
  <c r="M280" i="3"/>
  <c r="N38" i="3"/>
  <c r="M91" i="3"/>
  <c r="N26" i="3"/>
  <c r="M162" i="3"/>
  <c r="M169" i="3"/>
  <c r="M281" i="3"/>
  <c r="N19" i="3"/>
  <c r="N41" i="3"/>
  <c r="N31" i="3"/>
  <c r="N4" i="3"/>
  <c r="N28" i="3"/>
  <c r="N58" i="3"/>
  <c r="N16" i="3"/>
  <c r="N33" i="3"/>
  <c r="M33" i="3"/>
  <c r="N53" i="3"/>
  <c r="N45" i="3"/>
  <c r="M155" i="3"/>
  <c r="M397" i="3"/>
  <c r="M404" i="3"/>
  <c r="N47" i="3"/>
  <c r="N46" i="3"/>
  <c r="M71" i="3"/>
  <c r="M429" i="3"/>
  <c r="M434" i="3"/>
  <c r="N8" i="3"/>
  <c r="M448" i="3"/>
  <c r="M356" i="3"/>
  <c r="M366" i="3"/>
  <c r="N12" i="3"/>
  <c r="M382" i="3"/>
  <c r="M305" i="3"/>
  <c r="M312" i="3"/>
  <c r="M320" i="3"/>
  <c r="M330" i="3"/>
  <c r="M338" i="3"/>
  <c r="M73" i="3"/>
  <c r="M291" i="3"/>
  <c r="M299" i="3"/>
  <c r="M195" i="3"/>
  <c r="M207" i="3"/>
  <c r="M215" i="3"/>
  <c r="M224" i="3"/>
  <c r="N13" i="3"/>
  <c r="M242" i="3"/>
  <c r="M253" i="3"/>
  <c r="M263" i="3"/>
  <c r="M271" i="3"/>
  <c r="M98" i="3"/>
  <c r="M142" i="3"/>
  <c r="M170" i="3"/>
  <c r="M189" i="3"/>
  <c r="M104" i="3"/>
  <c r="M108" i="3"/>
  <c r="M409" i="3"/>
  <c r="M435" i="3"/>
  <c r="M452" i="3"/>
  <c r="N63" i="3"/>
  <c r="N52" i="3"/>
  <c r="M376" i="3"/>
  <c r="M387" i="3"/>
  <c r="M309" i="3"/>
  <c r="M321" i="3"/>
  <c r="M335" i="3"/>
  <c r="N55" i="3"/>
  <c r="M300" i="3"/>
  <c r="M204" i="3"/>
  <c r="M217" i="3"/>
  <c r="M232" i="3"/>
  <c r="M243" i="3"/>
  <c r="M264" i="3"/>
  <c r="M128" i="3"/>
  <c r="M139" i="3"/>
  <c r="N57" i="3"/>
  <c r="M156" i="3"/>
  <c r="M171" i="3"/>
  <c r="M182" i="3"/>
  <c r="N60" i="3"/>
  <c r="M109" i="3"/>
  <c r="N39" i="3"/>
  <c r="M441" i="3"/>
  <c r="M100" i="3"/>
  <c r="M363" i="3"/>
  <c r="M389" i="3"/>
  <c r="M313" i="3"/>
  <c r="M325" i="3"/>
  <c r="M339" i="3"/>
  <c r="M288" i="3"/>
  <c r="M303" i="3"/>
  <c r="M208" i="3"/>
  <c r="M221" i="3"/>
  <c r="M261" i="3"/>
  <c r="M272" i="3"/>
  <c r="M77" i="3"/>
  <c r="M119" i="3"/>
  <c r="M132" i="3"/>
  <c r="M160" i="3"/>
  <c r="M178" i="3"/>
  <c r="M487" i="3"/>
  <c r="M15" i="3"/>
  <c r="M64" i="3"/>
  <c r="M59" i="3"/>
  <c r="M7" i="3"/>
  <c r="M44" i="3"/>
  <c r="M61" i="3"/>
  <c r="M35" i="3"/>
  <c r="M352" i="3"/>
  <c r="M362" i="3"/>
  <c r="M369" i="3"/>
  <c r="M378" i="3"/>
  <c r="M385" i="3"/>
  <c r="M391" i="3"/>
  <c r="M307" i="3"/>
  <c r="M317" i="3"/>
  <c r="M25" i="3"/>
  <c r="M333" i="3"/>
  <c r="M99" i="3"/>
  <c r="M290" i="3"/>
  <c r="M298" i="3"/>
  <c r="M202" i="3"/>
  <c r="M210" i="3"/>
  <c r="M245" i="3"/>
  <c r="M252" i="3"/>
  <c r="M82" i="3"/>
  <c r="M137" i="3"/>
  <c r="M42" i="3"/>
  <c r="M192" i="3"/>
  <c r="M118" i="3"/>
  <c r="M23" i="3"/>
  <c r="M32" i="3"/>
  <c r="M181" i="3"/>
  <c r="M10" i="3"/>
  <c r="M496" i="3"/>
  <c r="M422" i="3"/>
  <c r="M449" i="3"/>
  <c r="M383" i="3"/>
  <c r="M225" i="3"/>
  <c r="M36" i="3"/>
  <c r="M479" i="3"/>
  <c r="M490" i="3"/>
  <c r="M503" i="3"/>
  <c r="M514" i="3"/>
  <c r="M521" i="3"/>
  <c r="M531" i="3"/>
  <c r="M53" i="3"/>
  <c r="M543" i="3"/>
  <c r="M416" i="3"/>
  <c r="M296" i="3"/>
  <c r="M167" i="3"/>
  <c r="M420" i="3"/>
  <c r="M54" i="3"/>
  <c r="M29" i="3"/>
  <c r="M51" i="3"/>
  <c r="M24" i="3"/>
  <c r="M34" i="3"/>
  <c r="M48" i="3"/>
  <c r="M56" i="3"/>
  <c r="M38" i="3"/>
  <c r="M41" i="3"/>
  <c r="M21" i="3"/>
  <c r="M47" i="3"/>
  <c r="M46" i="3"/>
  <c r="M8" i="3"/>
  <c r="M12" i="3"/>
  <c r="M13" i="3"/>
  <c r="M63" i="3"/>
  <c r="M52" i="3"/>
  <c r="M55" i="3"/>
  <c r="M57" i="3"/>
  <c r="M60" i="3"/>
  <c r="M39" i="3"/>
  <c r="M50" i="3"/>
  <c r="M11" i="3"/>
  <c r="M5" i="3"/>
  <c r="M17" i="3"/>
  <c r="M3" i="3"/>
  <c r="M43" i="3"/>
  <c r="M14" i="3"/>
  <c r="M9" i="3"/>
  <c r="M26" i="3"/>
  <c r="M19" i="3"/>
  <c r="M27" i="3"/>
  <c r="M62" i="3"/>
  <c r="M18" i="3"/>
  <c r="M348" i="3"/>
  <c r="M79" i="3"/>
  <c r="M365" i="3"/>
  <c r="M374" i="3"/>
  <c r="M31" i="3"/>
  <c r="M4" i="3"/>
  <c r="M304" i="3"/>
  <c r="M314" i="3"/>
  <c r="M65" i="3"/>
  <c r="M329" i="3"/>
  <c r="M341" i="3"/>
  <c r="M284" i="3"/>
  <c r="M294" i="3"/>
  <c r="M194" i="3"/>
  <c r="M206" i="3"/>
  <c r="M219" i="3"/>
  <c r="M248" i="3"/>
  <c r="M28" i="3"/>
  <c r="M115" i="3"/>
  <c r="M141" i="3"/>
  <c r="M184" i="3"/>
  <c r="M58" i="3"/>
  <c r="M16" i="3"/>
  <c r="M159" i="3"/>
  <c r="M173" i="3"/>
  <c r="M37" i="3"/>
  <c r="M76" i="3"/>
  <c r="M116" i="3"/>
  <c r="M49" i="3"/>
  <c r="M78" i="3"/>
  <c r="M493" i="3"/>
  <c r="M507" i="3"/>
  <c r="M517" i="3"/>
  <c r="M523" i="3"/>
  <c r="M40" i="3"/>
  <c r="M539" i="3"/>
  <c r="M547" i="3"/>
  <c r="M357" i="3"/>
  <c r="M254" i="3"/>
  <c r="M22" i="3"/>
  <c r="K1" i="3"/>
  <c r="L1" i="3"/>
  <c r="M1" i="3" l="1"/>
</calcChain>
</file>

<file path=xl/sharedStrings.xml><?xml version="1.0" encoding="utf-8"?>
<sst xmlns="http://schemas.openxmlformats.org/spreadsheetml/2006/main" count="2962" uniqueCount="1585">
  <si>
    <t>AZ002</t>
  </si>
  <si>
    <t>AZ001</t>
  </si>
  <si>
    <t>AZ005</t>
  </si>
  <si>
    <t>AZ007</t>
  </si>
  <si>
    <t>AZ008</t>
  </si>
  <si>
    <t>AZ009</t>
  </si>
  <si>
    <t>Etapa/Unidade</t>
  </si>
  <si>
    <t>Qtde</t>
  </si>
  <si>
    <t>Valor principal</t>
  </si>
  <si>
    <t>Valor Corrigido</t>
  </si>
  <si>
    <t>AZ010</t>
  </si>
  <si>
    <t>AZ016</t>
  </si>
  <si>
    <t>AZ023</t>
  </si>
  <si>
    <t>AZ026</t>
  </si>
  <si>
    <t>AZ038</t>
  </si>
  <si>
    <t>AZ039</t>
  </si>
  <si>
    <t>AZ047</t>
  </si>
  <si>
    <t>AZ058</t>
  </si>
  <si>
    <t>AZ059</t>
  </si>
  <si>
    <t>AZ062</t>
  </si>
  <si>
    <t>AZ068</t>
  </si>
  <si>
    <t>AZ064</t>
  </si>
  <si>
    <t>AZ069</t>
  </si>
  <si>
    <t>AZ070</t>
  </si>
  <si>
    <t>AZ087</t>
  </si>
  <si>
    <t>AZ093</t>
  </si>
  <si>
    <t>AZBAR</t>
  </si>
  <si>
    <t>BO028</t>
  </si>
  <si>
    <t>BO031</t>
  </si>
  <si>
    <t>BO033</t>
  </si>
  <si>
    <t>BO048</t>
  </si>
  <si>
    <t>BO055</t>
  </si>
  <si>
    <t>BO078</t>
  </si>
  <si>
    <t>BO086</t>
  </si>
  <si>
    <t>BO105</t>
  </si>
  <si>
    <t>BO110</t>
  </si>
  <si>
    <t>BO111</t>
  </si>
  <si>
    <t>GA001</t>
  </si>
  <si>
    <t>GA004</t>
  </si>
  <si>
    <t>GA022</t>
  </si>
  <si>
    <t>GA030</t>
  </si>
  <si>
    <t>GA038</t>
  </si>
  <si>
    <t>GA040</t>
  </si>
  <si>
    <t>GA055</t>
  </si>
  <si>
    <t>GA073</t>
  </si>
  <si>
    <t>GA075</t>
  </si>
  <si>
    <t>JA002</t>
  </si>
  <si>
    <t>JA003</t>
  </si>
  <si>
    <t>JA016</t>
  </si>
  <si>
    <t>JA021</t>
  </si>
  <si>
    <t>JA031</t>
  </si>
  <si>
    <t>JA033</t>
  </si>
  <si>
    <t>JA044</t>
  </si>
  <si>
    <t>JA052</t>
  </si>
  <si>
    <t>OR006</t>
  </si>
  <si>
    <t>OR013</t>
  </si>
  <si>
    <t>OR014</t>
  </si>
  <si>
    <t>OR016</t>
  </si>
  <si>
    <t>OR020</t>
  </si>
  <si>
    <t>OR028</t>
  </si>
  <si>
    <t>OR035</t>
  </si>
  <si>
    <t>OR047</t>
  </si>
  <si>
    <t>OR049</t>
  </si>
  <si>
    <t>OR060</t>
  </si>
  <si>
    <t>OR071</t>
  </si>
  <si>
    <t>OR084</t>
  </si>
  <si>
    <t>OR085</t>
  </si>
  <si>
    <t>OR086</t>
  </si>
  <si>
    <t>PI003</t>
  </si>
  <si>
    <t>PI004</t>
  </si>
  <si>
    <t>PI005</t>
  </si>
  <si>
    <t>PI022</t>
  </si>
  <si>
    <t>PI025</t>
  </si>
  <si>
    <t>PI033</t>
  </si>
  <si>
    <t>PI042</t>
  </si>
  <si>
    <t>PI049</t>
  </si>
  <si>
    <t>PI056</t>
  </si>
  <si>
    <t>PI057</t>
  </si>
  <si>
    <t>PI071</t>
  </si>
  <si>
    <t>PI072</t>
  </si>
  <si>
    <t>PI074</t>
  </si>
  <si>
    <t>PI079</t>
  </si>
  <si>
    <t>PI080</t>
  </si>
  <si>
    <t>Relatorio de inadimplencia - Fev/2025</t>
  </si>
  <si>
    <t>TOTAL INADIMPLÊNCIA:</t>
  </si>
  <si>
    <t>JA030</t>
  </si>
  <si>
    <t>JA053</t>
  </si>
  <si>
    <t>Multas/Juros</t>
  </si>
  <si>
    <t>Relatorio de inadimplencia - OUT/2025</t>
  </si>
  <si>
    <t>AZ030</t>
  </si>
  <si>
    <t>BO068</t>
  </si>
  <si>
    <t>BO104</t>
  </si>
  <si>
    <t>BO108</t>
  </si>
  <si>
    <t>BO112</t>
  </si>
  <si>
    <t>BO114</t>
  </si>
  <si>
    <t>GA003</t>
  </si>
  <si>
    <t>GA046</t>
  </si>
  <si>
    <t>GA047</t>
  </si>
  <si>
    <t>GA057</t>
  </si>
  <si>
    <t>JA012</t>
  </si>
  <si>
    <t>OR036</t>
  </si>
  <si>
    <t>OR051</t>
  </si>
  <si>
    <t>OR057</t>
  </si>
  <si>
    <t>PI015</t>
  </si>
  <si>
    <t>PI069</t>
  </si>
  <si>
    <t>PI073</t>
  </si>
  <si>
    <t>PI077</t>
  </si>
  <si>
    <t>CPF</t>
  </si>
  <si>
    <t>Proprietário</t>
  </si>
  <si>
    <t>Etapa</t>
  </si>
  <si>
    <t>Unidade</t>
  </si>
  <si>
    <t>Nº Quartos</t>
  </si>
  <si>
    <t>Tipo de Unidade</t>
  </si>
  <si>
    <t>Capacidade</t>
  </si>
  <si>
    <t>Documento</t>
  </si>
  <si>
    <t>026.829.151-91</t>
  </si>
  <si>
    <t>MARIA MICHELINE COSTA VIEIRA</t>
  </si>
  <si>
    <t>Azaléia - AZ</t>
  </si>
  <si>
    <t>Residência</t>
  </si>
  <si>
    <t>469.420.681-87</t>
  </si>
  <si>
    <t>MARIA APARECIDA TACASSI</t>
  </si>
  <si>
    <t>003.080.131-15</t>
  </si>
  <si>
    <t>NEIDE CARVALHO PIMENTEL</t>
  </si>
  <si>
    <t>456.123.821-20</t>
  </si>
  <si>
    <t>SULAMITA OLIVEIRA DA CUNHA BARROS</t>
  </si>
  <si>
    <t>042.641.856-53</t>
  </si>
  <si>
    <t>SEBASTIÃO FERREIRA MENDES</t>
  </si>
  <si>
    <t>153.472.731-00</t>
  </si>
  <si>
    <t>IRAILTON GOMES MODESTO</t>
  </si>
  <si>
    <t>054.909.011-87</t>
  </si>
  <si>
    <t>JONAS GOMES RODRIGUES</t>
  </si>
  <si>
    <t>059.604.601-49</t>
  </si>
  <si>
    <t>MARIA DO SOCORRO BRAGA RAMALHO</t>
  </si>
  <si>
    <t>Locação Temporária</t>
  </si>
  <si>
    <t>574.109.761-87</t>
  </si>
  <si>
    <t>LUCIMAR LISBOA DA CUNHA LEMES</t>
  </si>
  <si>
    <t>598.221.121-49</t>
  </si>
  <si>
    <t>LUCIANO ETERNO DA SILVA TOSCANO</t>
  </si>
  <si>
    <t>394.828.801-10</t>
  </si>
  <si>
    <t>HUGO MENDES</t>
  </si>
  <si>
    <t>435.480.831-53</t>
  </si>
  <si>
    <t>DIVINA CLAUDIA DA SILVA OLIVEIRA</t>
  </si>
  <si>
    <t>375.788.711-53</t>
  </si>
  <si>
    <t>MARIANA MENDES DO NASCIMENTO</t>
  </si>
  <si>
    <t>000.155.791-23</t>
  </si>
  <si>
    <t>MICHELLE CRISTIANE ABREU MARQUES</t>
  </si>
  <si>
    <t>984.282.681-34</t>
  </si>
  <si>
    <t>LOUISE KARLA TOMAZETT NOGUEIRA</t>
  </si>
  <si>
    <t>732.336.258-04</t>
  </si>
  <si>
    <t>ALUIZIO PEREIRA DE SOUSA</t>
  </si>
  <si>
    <t>010.461.441-20</t>
  </si>
  <si>
    <t>AFONSO LADISLAU SATAS</t>
  </si>
  <si>
    <t>224.363.911-49</t>
  </si>
  <si>
    <t>DALVA FARIA MARTINS</t>
  </si>
  <si>
    <t>188.762.858-49</t>
  </si>
  <si>
    <t>ARLINDO CHAVES MARTINS</t>
  </si>
  <si>
    <t>247.586.801-59</t>
  </si>
  <si>
    <t>WELLINGTON REBELO TOLENTINO</t>
  </si>
  <si>
    <t>520.246.791-53</t>
  </si>
  <si>
    <t>MARCELO ALVES FERREIRA</t>
  </si>
  <si>
    <t>36.444.257/0001-80</t>
  </si>
  <si>
    <t>BC BUSINESS CORPORATION S.A</t>
  </si>
  <si>
    <t>196.274.751-49</t>
  </si>
  <si>
    <t>SEBASTIÃO LUIZ DE VASCONCELOS FILHO</t>
  </si>
  <si>
    <t>217.184.661-53</t>
  </si>
  <si>
    <t>SEBASTIÃO GODINHO FILHO</t>
  </si>
  <si>
    <t>423.581.751-53</t>
  </si>
  <si>
    <t>MARIA LUCIA FRAGA FERREIRA</t>
  </si>
  <si>
    <t>864.594.061-20</t>
  </si>
  <si>
    <t>ISAURA CAMPOS BRASIL</t>
  </si>
  <si>
    <t>095.144.811-00</t>
  </si>
  <si>
    <t>APARECIDO DE MACEDO RODRIGUES</t>
  </si>
  <si>
    <t>249.078.711-04</t>
  </si>
  <si>
    <t>MARIA CLAUDIA ARAÚJO DE CASTRO / RAIMUNDO R. DE</t>
  </si>
  <si>
    <t>386.790.601-78</t>
  </si>
  <si>
    <t>LEOMAR REZENDE DA SILVA</t>
  </si>
  <si>
    <t>871.709.061-04</t>
  </si>
  <si>
    <t>DEBORAH MARA DOMICIANO FERREIRA</t>
  </si>
  <si>
    <t>346.953.541-87</t>
  </si>
  <si>
    <t>MARCELO BORGES DE MELO</t>
  </si>
  <si>
    <t>036.667.431-53</t>
  </si>
  <si>
    <t>EDES OLIVEIRA ROCHA</t>
  </si>
  <si>
    <t>009.336.601-97</t>
  </si>
  <si>
    <t>JOSE RIBAMAR CHAGAS</t>
  </si>
  <si>
    <t>073.061.211-20</t>
  </si>
  <si>
    <t>MARIA CARMEM DE BESSA PAIVA</t>
  </si>
  <si>
    <t>038.298.471-49</t>
  </si>
  <si>
    <t>NEUSA MARIA DA SILVA</t>
  </si>
  <si>
    <t>002.691.231-72</t>
  </si>
  <si>
    <t>JAIR TEIXEIRA</t>
  </si>
  <si>
    <t>083.244.761-72</t>
  </si>
  <si>
    <t>MARCILIO FERNANDES GOMES</t>
  </si>
  <si>
    <t>116.446.301-25</t>
  </si>
  <si>
    <t>ELOISA MARQUES DO COUTO</t>
  </si>
  <si>
    <t>267.274.471-87</t>
  </si>
  <si>
    <t>MARIA DEUSERINA B. DE S. SANTOS / GILBERTO S. SANTOS</t>
  </si>
  <si>
    <t>508.320.001-59</t>
  </si>
  <si>
    <t>RUI BORGES SENA</t>
  </si>
  <si>
    <t>210.855.951-53</t>
  </si>
  <si>
    <t>TEREZINHA COSTA SOUSA DE MORAES</t>
  </si>
  <si>
    <t>358.148.101-49</t>
  </si>
  <si>
    <t>GILDENOU VALENTIM MARTINS</t>
  </si>
  <si>
    <t>025.864.481-89</t>
  </si>
  <si>
    <t>ELLEN CAROLINE SECCO BASTOS</t>
  </si>
  <si>
    <t>061.138.117-60</t>
  </si>
  <si>
    <t>RUSSELL TOMECKO</t>
  </si>
  <si>
    <t>020.164.871-78</t>
  </si>
  <si>
    <t>HELIO BORGES DE ABREU</t>
  </si>
  <si>
    <t>019.991.778-78</t>
  </si>
  <si>
    <t>ANTONIO BARROS DE ARRUDA CASTRO</t>
  </si>
  <si>
    <t>205.751.576-15</t>
  </si>
  <si>
    <t>MARIA CRISTINA CINTRA</t>
  </si>
  <si>
    <t>493.162.576-20</t>
  </si>
  <si>
    <t>RAIMUNDO MAGALHÃES DA SILVA JUNIOR</t>
  </si>
  <si>
    <t>633.991.721-68</t>
  </si>
  <si>
    <t>MARCELLO GONÇALVES BORGES</t>
  </si>
  <si>
    <t>394.449.451-20</t>
  </si>
  <si>
    <t>NEWTON PEREIRA PINTO</t>
  </si>
  <si>
    <t>112.922.291-87</t>
  </si>
  <si>
    <t>SERGIO OSMUNDO DA SILVA</t>
  </si>
  <si>
    <t>151.555.791-04</t>
  </si>
  <si>
    <t>NILZO ALVES DA SILVA</t>
  </si>
  <si>
    <t>235.503.841-49</t>
  </si>
  <si>
    <t>FLORACY ROSA DA SILVA</t>
  </si>
  <si>
    <t>467.271.081-53</t>
  </si>
  <si>
    <t>VALDETE ROSA DA SILVA CALDAS</t>
  </si>
  <si>
    <t>035.432.691-00</t>
  </si>
  <si>
    <t>CLARICE SOUZA BASTOS LIMA</t>
  </si>
  <si>
    <t>336.927.261-04</t>
  </si>
  <si>
    <t>NEUZA VIEIRA DA COSTA</t>
  </si>
  <si>
    <t>418.191.281-72</t>
  </si>
  <si>
    <t>EDNA VIANA MACEDO</t>
  </si>
  <si>
    <t>166.522.581-53</t>
  </si>
  <si>
    <t>MARIA FATIMA DE SOUZA VILARINHO</t>
  </si>
  <si>
    <t>276.531.158-70</t>
  </si>
  <si>
    <t>ALEX PEREIRA DE AZEVEDO</t>
  </si>
  <si>
    <t>467.249.901-49</t>
  </si>
  <si>
    <t>MARCELO DUTRA DE PAULA</t>
  </si>
  <si>
    <t>933.002.981-72</t>
  </si>
  <si>
    <t>SIMONE ALVES DE BRITO</t>
  </si>
  <si>
    <t>706.844.051-72</t>
  </si>
  <si>
    <t>FREDERICO TEIXEIRA DE MIRANDA</t>
  </si>
  <si>
    <t>086.881.841-00</t>
  </si>
  <si>
    <t>NIRALDO DE OLIVEIRA</t>
  </si>
  <si>
    <t>056.119.381-91</t>
  </si>
  <si>
    <t>SEBASTIÃO GONÇALVES REZENDE</t>
  </si>
  <si>
    <t>343.312.631-34</t>
  </si>
  <si>
    <t>ADÃO JOSÉ DE AZEVEDO</t>
  </si>
  <si>
    <t>763.464.638-53</t>
  </si>
  <si>
    <t>ORLANDIA ROSA PEREIRA ROCHA</t>
  </si>
  <si>
    <t>704.479.508-00</t>
  </si>
  <si>
    <t>MIGUEL ARCANJO MINA</t>
  </si>
  <si>
    <t>33.344.938/0001-88</t>
  </si>
  <si>
    <t>AGROPASTORIL SANTA RITA LTDA-ME</t>
  </si>
  <si>
    <t>369.674.161-20</t>
  </si>
  <si>
    <t>FAUSTINO ALVES RODRIGUES</t>
  </si>
  <si>
    <t>984.519.791-49</t>
  </si>
  <si>
    <t>ANTÔNIO CARLOS SABBATINI DA SILVA</t>
  </si>
  <si>
    <t>565.499.891-91</t>
  </si>
  <si>
    <t>WANESSA CRISTINA ALVES ARITO</t>
  </si>
  <si>
    <t>036.458.571-41</t>
  </si>
  <si>
    <t>IANNA YOSHIMI BAÊTA OTANI</t>
  </si>
  <si>
    <t>634.281.561-53</t>
  </si>
  <si>
    <t>HENRIQUE DE OLIVEIRA FERNANDES</t>
  </si>
  <si>
    <t>077.010.201-87</t>
  </si>
  <si>
    <t>OSVALDO ANTÔNIO DE FARIA</t>
  </si>
  <si>
    <t>119.616.878-44</t>
  </si>
  <si>
    <t>MARIA DA PAZ GOMES F. OLIVEIRA</t>
  </si>
  <si>
    <t>049.181.691-04</t>
  </si>
  <si>
    <t>RIVALDO ALVES DE ASSIS/ NEUSA</t>
  </si>
  <si>
    <t>131.530.801-00</t>
  </si>
  <si>
    <t>LUCIENE LOURENÇO VIEIRA</t>
  </si>
  <si>
    <t>233.143.621-53</t>
  </si>
  <si>
    <t>LILA MARIA CANDIDO</t>
  </si>
  <si>
    <t>204.402.511-68</t>
  </si>
  <si>
    <t>JOSUE CARLOS DOS SANTOS</t>
  </si>
  <si>
    <t>815.377.001-20</t>
  </si>
  <si>
    <t>CRISTIANO ALVES DA SILVA</t>
  </si>
  <si>
    <t>881.050.676-68</t>
  </si>
  <si>
    <t>FLORA LORENÇO SILVA</t>
  </si>
  <si>
    <t>070.859.661-49</t>
  </si>
  <si>
    <t>GASPAR CANDIDO RESENDE</t>
  </si>
  <si>
    <t>296.589.261-34</t>
  </si>
  <si>
    <t>FRANCISCO ANTÔNIO BEZERRA MARQUES</t>
  </si>
  <si>
    <t>663.720.546-04</t>
  </si>
  <si>
    <t>LENY DENISE RODRIGUES</t>
  </si>
  <si>
    <t>334.312.641-15</t>
  </si>
  <si>
    <t>JOSÉ ANTONIO FERNANDES DE OLIVEIRA</t>
  </si>
  <si>
    <t>788.992.571-91</t>
  </si>
  <si>
    <t>CRISTIANE DA COSTA CUNHA</t>
  </si>
  <si>
    <t>529.911.211-49</t>
  </si>
  <si>
    <t>JOSÉ MARIA FRAZÃO</t>
  </si>
  <si>
    <t>461.636.621-72</t>
  </si>
  <si>
    <t>JANDUI PINTO JUNIOR</t>
  </si>
  <si>
    <t>707.766.951-34</t>
  </si>
  <si>
    <t>VIVIANE FRANCISCO MOURA</t>
  </si>
  <si>
    <t>160.801.571-87</t>
  </si>
  <si>
    <t>CÉZIO VITORINO DE OLIVEIRA</t>
  </si>
  <si>
    <t>485.246.111-20</t>
  </si>
  <si>
    <t>VANDEIR JOSÉ DA COSTA</t>
  </si>
  <si>
    <t>492.357.701-06</t>
  </si>
  <si>
    <t>RUI JOSE DA SILVA</t>
  </si>
  <si>
    <t>002.985.221-87</t>
  </si>
  <si>
    <t>SIZENANDO MARTINS CARNEIRO</t>
  </si>
  <si>
    <t>125.554.011-72</t>
  </si>
  <si>
    <t>CARLOS ROBERTO A. RODRIGUES</t>
  </si>
  <si>
    <t>33.638.461/0001-43</t>
  </si>
  <si>
    <t>SINDJUSTIÇA GOIAS</t>
  </si>
  <si>
    <t>270.112.676-20</t>
  </si>
  <si>
    <t>TANIA MARCIA VIEGAS MARQUES</t>
  </si>
  <si>
    <t>Bougainville - BO</t>
  </si>
  <si>
    <t>182.322.721-04</t>
  </si>
  <si>
    <t>MARIA EUNICE SEGURADO COELHO</t>
  </si>
  <si>
    <t>493.770.601-25</t>
  </si>
  <si>
    <t>RAUL DE CASTRO ALVES</t>
  </si>
  <si>
    <t>259.243.031-87</t>
  </si>
  <si>
    <t>PEDRO AMORIM FILHO</t>
  </si>
  <si>
    <t>219.462.991-20</t>
  </si>
  <si>
    <t>JEOVA PEREIRA DE OLIVEIRA</t>
  </si>
  <si>
    <t>195.377.601-97</t>
  </si>
  <si>
    <t>PAULO RIBEIRO GUIMARÂES</t>
  </si>
  <si>
    <t>791.935.288-68</t>
  </si>
  <si>
    <t>MITUITI CHOZEN</t>
  </si>
  <si>
    <t>062.056.836-44</t>
  </si>
  <si>
    <t>SORAIA VIEGAS MARQUES</t>
  </si>
  <si>
    <t>124.903.501-53</t>
  </si>
  <si>
    <t>SEBASTIÃO ANTONIO NASCIMENTO</t>
  </si>
  <si>
    <t>145.037.941-91</t>
  </si>
  <si>
    <t>JOSÉ VALDENOR QUEIROZ JÚNIOR</t>
  </si>
  <si>
    <t>221.911.271-34</t>
  </si>
  <si>
    <t>MARIA IZABEL SÁ FREIRE DE CASTRO</t>
  </si>
  <si>
    <t>096.352.543-34</t>
  </si>
  <si>
    <t>JOSE FRANCISCO DAS CHAGAS VIANA</t>
  </si>
  <si>
    <t>997.248.471-87</t>
  </si>
  <si>
    <t>ELIZANGELA CRISTINA TEIXEIRA</t>
  </si>
  <si>
    <t>319.831.628-68</t>
  </si>
  <si>
    <t>GILBERTO DE CASTRO</t>
  </si>
  <si>
    <t>281.062.961-72</t>
  </si>
  <si>
    <t>SUELI ESSADO PEREIRA</t>
  </si>
  <si>
    <t>352.523.751-00</t>
  </si>
  <si>
    <t>GENIVALDO JOSÉ DOS SANTOS</t>
  </si>
  <si>
    <t>553.585.941-91</t>
  </si>
  <si>
    <t>EURICA TORICO HIRAMATSU</t>
  </si>
  <si>
    <t>252.340.168-11</t>
  </si>
  <si>
    <t>LEANDRO AVARINO</t>
  </si>
  <si>
    <t>235.054.601-25</t>
  </si>
  <si>
    <t>FRANCISCO CÉLIO BEZERRA</t>
  </si>
  <si>
    <t>599.191.081-20</t>
  </si>
  <si>
    <t>JOSE RENATO RESENDE</t>
  </si>
  <si>
    <t>805.119.371-72</t>
  </si>
  <si>
    <t>OCENYR DOS SANTOS TEIXEIRA</t>
  </si>
  <si>
    <t>790.451.381-15</t>
  </si>
  <si>
    <t>ALESSANDRO MIGUEL SILVA</t>
  </si>
  <si>
    <t>095.552.001-06</t>
  </si>
  <si>
    <t>JOSE FERNANDES DA SILVA</t>
  </si>
  <si>
    <t>295.847.791-68</t>
  </si>
  <si>
    <t>CARLOS ALBERTO VIEIRA</t>
  </si>
  <si>
    <t>174.331.852-91</t>
  </si>
  <si>
    <t>MANOEL REZENDE DOS SANTOS</t>
  </si>
  <si>
    <t>375.113.271-68</t>
  </si>
  <si>
    <t>ANTONIA VERA LUCIA GUIMARAES</t>
  </si>
  <si>
    <t>360.206.991-53</t>
  </si>
  <si>
    <t>DIVINA LUCIA DOS SANTOS MACHADO</t>
  </si>
  <si>
    <t>136.311.871-49</t>
  </si>
  <si>
    <t>GERALDO NEI DE ALMEIDA</t>
  </si>
  <si>
    <t>066.939.461-00</t>
  </si>
  <si>
    <t>THALES LOPES CARDOSO</t>
  </si>
  <si>
    <t>122.736.191-20</t>
  </si>
  <si>
    <t>FERNANDO FERNANDES CAIXETA</t>
  </si>
  <si>
    <t>116.612.081-34</t>
  </si>
  <si>
    <t>CLOVIS GONÇALVES VIDAL</t>
  </si>
  <si>
    <t>086.080.321-04</t>
  </si>
  <si>
    <t>DIVINO REBOUÇAS DE SOUZA E OUTROS</t>
  </si>
  <si>
    <t>699.219.111-04</t>
  </si>
  <si>
    <t>LUIZ CARLOS OLIVEIRA MACHADO</t>
  </si>
  <si>
    <t>325.851.388-01</t>
  </si>
  <si>
    <t>DANIELE APARECIDA RODRIGUES DA SILVA OLIVEIRA</t>
  </si>
  <si>
    <t>398.290.571-00</t>
  </si>
  <si>
    <t>SIDNEI SOARES DE MENESES</t>
  </si>
  <si>
    <t>642.691.751-68</t>
  </si>
  <si>
    <t>ALESSANDRA FÁTIMA TELES</t>
  </si>
  <si>
    <t>168.370.881-49</t>
  </si>
  <si>
    <t>WILLIAM LEROY</t>
  </si>
  <si>
    <t>370.554.021-15</t>
  </si>
  <si>
    <t>RICARDO ALVES CARDOSO</t>
  </si>
  <si>
    <t>105.653.533-49</t>
  </si>
  <si>
    <t>MARIA CELESTE DE SOUSA SANTOS</t>
  </si>
  <si>
    <t>479.150.481-04</t>
  </si>
  <si>
    <t>EDMARIA AFONSO DE OLIVEIRA</t>
  </si>
  <si>
    <t>828.723.841-20</t>
  </si>
  <si>
    <t>FLAVIO JOSE DA SILVA</t>
  </si>
  <si>
    <t>510.735.872-15</t>
  </si>
  <si>
    <t>THAIS PORTO DE CASTRO AMADO</t>
  </si>
  <si>
    <t>372.991.231-34</t>
  </si>
  <si>
    <t>MARIZA RODRIGUES DOS SANTOS</t>
  </si>
  <si>
    <t>098.035.131-68</t>
  </si>
  <si>
    <t>FRANCISCA ALVES TORQUATO</t>
  </si>
  <si>
    <t>085.439.331-53</t>
  </si>
  <si>
    <t>ANTONIO CAVALCANTE MIRANDA</t>
  </si>
  <si>
    <t>049.495.221-08</t>
  </si>
  <si>
    <t>MARINA GONÇALVES VIEIRA</t>
  </si>
  <si>
    <t>098.713.731-04</t>
  </si>
  <si>
    <t>DANIEL BORGES GOMES</t>
  </si>
  <si>
    <t>375.723.851-68</t>
  </si>
  <si>
    <t>TEREZINHA DE LIMA RODRIGUES INACIO</t>
  </si>
  <si>
    <t>285.774.408-00</t>
  </si>
  <si>
    <t>JOSE CARLOS DOS SANTOS FILHO</t>
  </si>
  <si>
    <t>328.521.181-49</t>
  </si>
  <si>
    <t>MARIA GORETT DE COUTO GOMES</t>
  </si>
  <si>
    <t>011.124.306-87</t>
  </si>
  <si>
    <t>JOSÉ MAURO DE OLIVEIRA FERREIRA</t>
  </si>
  <si>
    <t>358.846.651-72</t>
  </si>
  <si>
    <t>ADRIANO TYRKA</t>
  </si>
  <si>
    <t>240.345.506-78</t>
  </si>
  <si>
    <t>CARLOS HENRIQUE MELO MUNDIM</t>
  </si>
  <si>
    <t>363.501.171-15</t>
  </si>
  <si>
    <t>LUIZ CARLOS MESQUITA</t>
  </si>
  <si>
    <t>012.277.231-80</t>
  </si>
  <si>
    <t>CRISTIELLY GUIMARÃES FRANCO / RODRIGO</t>
  </si>
  <si>
    <t>026.105.541-09</t>
  </si>
  <si>
    <t>RENAN BOTELHO DE MORAIS</t>
  </si>
  <si>
    <t>119.828.291-68</t>
  </si>
  <si>
    <t>LIOCI CARVALHO JARDIM</t>
  </si>
  <si>
    <t>153.774.071-72</t>
  </si>
  <si>
    <t>LEONEDES CAMELO LIMA / Mª CAMELO</t>
  </si>
  <si>
    <t>382.705.103-78</t>
  </si>
  <si>
    <t>ANTÔNIO IRISMAR DE ALMEIDA</t>
  </si>
  <si>
    <t>150.269.731-91</t>
  </si>
  <si>
    <t>ZITA DE FÁTIMA GONÇALVES VIDAL DA ROCHA</t>
  </si>
  <si>
    <t>023.645.811-68</t>
  </si>
  <si>
    <t>EURYPEDES PAMPLONA SOBRINHO</t>
  </si>
  <si>
    <t>707.983.821-55</t>
  </si>
  <si>
    <t>HANS-RUDOLF ZAUGG</t>
  </si>
  <si>
    <t>056.672.751-04</t>
  </si>
  <si>
    <t>ANESIO GONÇALVES DA SILVA</t>
  </si>
  <si>
    <t>696.085.121-15</t>
  </si>
  <si>
    <t>MAYRA RODRIGUES TYRKA</t>
  </si>
  <si>
    <t>182.840.271-00</t>
  </si>
  <si>
    <t>JOSÉ MARIA BIANCHI</t>
  </si>
  <si>
    <t>889.752.581-49</t>
  </si>
  <si>
    <t>ELIZÂNGELA MARIA FERNANDES PIMENTA</t>
  </si>
  <si>
    <t>096.021.191-87</t>
  </si>
  <si>
    <t>ALOISIO SILVA DE AGUIAR</t>
  </si>
  <si>
    <t>306.463.538-70</t>
  </si>
  <si>
    <t>JANAINA DOS SANTOS SIENA</t>
  </si>
  <si>
    <t>129.211.491-68</t>
  </si>
  <si>
    <t>CARMEM CÉLIA FERREIRA CUSTODIO</t>
  </si>
  <si>
    <t>694.894.161-34</t>
  </si>
  <si>
    <t>IDELSON DIAS ANDRADE</t>
  </si>
  <si>
    <t>337.773.575-53</t>
  </si>
  <si>
    <t>SILVANIA RODRIGUES ROCHA</t>
  </si>
  <si>
    <t>629.193.427-20</t>
  </si>
  <si>
    <t>MARIA DAYSE MAGALHÂES A DE MELO FIGUEIREDO</t>
  </si>
  <si>
    <t>047.183.561-72</t>
  </si>
  <si>
    <t>ALUIZIO SCHLIEWE DE MATOS</t>
  </si>
  <si>
    <t>055.092.061-79</t>
  </si>
  <si>
    <t>GUILHERME CARVALHO VILLETE</t>
  </si>
  <si>
    <t>131.785.391-15</t>
  </si>
  <si>
    <t>JACINTO FILHO DOS SANTOS</t>
  </si>
  <si>
    <t>712.104.581-87</t>
  </si>
  <si>
    <t>JACQUELINE BARROS PALMERSTON</t>
  </si>
  <si>
    <t>370.647.031-49</t>
  </si>
  <si>
    <t>ANA MARIA LEMOS DE SOUZA</t>
  </si>
  <si>
    <t>236.275.301-87</t>
  </si>
  <si>
    <t>JORGE RODRIGUES BARROS</t>
  </si>
  <si>
    <t>024.314.831-34</t>
  </si>
  <si>
    <t>SANSÃO ROBERTO BARCELOS</t>
  </si>
  <si>
    <t>144.837.956-35</t>
  </si>
  <si>
    <t>GISELLE STEFANY SOUZA AMARAL</t>
  </si>
  <si>
    <t>037.347.301-04</t>
  </si>
  <si>
    <t>ANTONIO FERREIRA DE MEDEIROS</t>
  </si>
  <si>
    <t>125.078.064-00</t>
  </si>
  <si>
    <t>PURCINA MARÇAL RODRIGUES</t>
  </si>
  <si>
    <t>130.112.431-15</t>
  </si>
  <si>
    <t>TAMARA PORTO DE CASTRO ARRUDA</t>
  </si>
  <si>
    <t>693.464.451-49</t>
  </si>
  <si>
    <t>EDUARDO ALMEIDA DE REZENDE</t>
  </si>
  <si>
    <t>092.816.731-34</t>
  </si>
  <si>
    <t>ARGEMIRO LOPES GONÇALVES</t>
  </si>
  <si>
    <t>120.846.893-68</t>
  </si>
  <si>
    <t>NEUZA BEZERRA C. DE OLIVEIRA</t>
  </si>
  <si>
    <t>091.872.432-53</t>
  </si>
  <si>
    <t>ANA MARIA CARVALHO SOARES</t>
  </si>
  <si>
    <t>088.799.071-15</t>
  </si>
  <si>
    <t>ESTER LINDA MARIA DE OLIVEIRA</t>
  </si>
  <si>
    <t>799.880.678-87</t>
  </si>
  <si>
    <t>JURANDIR MONTEIRO PIRES</t>
  </si>
  <si>
    <t>331.356.141-15</t>
  </si>
  <si>
    <t>JOSE DO CARMO SILVESTRE</t>
  </si>
  <si>
    <t>428.465.951-00</t>
  </si>
  <si>
    <t>JUANITA FERREIRA DE ARAUJO COSTA</t>
  </si>
  <si>
    <t>168.718.041-53</t>
  </si>
  <si>
    <t>GERULINO SEVERIANO ALVES</t>
  </si>
  <si>
    <t>012.812.961-12</t>
  </si>
  <si>
    <t>LUIZ FERNANDO MENDES ARANTES</t>
  </si>
  <si>
    <t>394.966.271-53</t>
  </si>
  <si>
    <t>JOSE ANTONIO BORGES DE RESENDE</t>
  </si>
  <si>
    <t>033.679.241-72</t>
  </si>
  <si>
    <t>PAULO HIDETOSHI MORI</t>
  </si>
  <si>
    <t>192.760.928-38</t>
  </si>
  <si>
    <t>ELISANGELA BETETI BORGES BRASIL</t>
  </si>
  <si>
    <t>360.683.491-87</t>
  </si>
  <si>
    <t>TÚLIO CESAR ELYADES</t>
  </si>
  <si>
    <t>042.035.001-25</t>
  </si>
  <si>
    <t>IDALÍCIO GOMES OLIVEIRA</t>
  </si>
  <si>
    <t>212.428.441-04</t>
  </si>
  <si>
    <t>JOSE HEITOR DE ALMEIDA</t>
  </si>
  <si>
    <t>118.798.311-04</t>
  </si>
  <si>
    <t>EULIVIA ALVES MURO</t>
  </si>
  <si>
    <t>214.764.461-72</t>
  </si>
  <si>
    <t>VICENTE BEZERRA DE OLIVEIRA</t>
  </si>
  <si>
    <t>880.530.916-87</t>
  </si>
  <si>
    <t>JOSÉ MOISÉS DE C. JÚNIOR</t>
  </si>
  <si>
    <t>Gardênia - GA</t>
  </si>
  <si>
    <t>232.593.961-87</t>
  </si>
  <si>
    <t>VALDECI DE SOUSA PORTO</t>
  </si>
  <si>
    <t>196.424.901-53</t>
  </si>
  <si>
    <t>MARIA ELISABET MELO</t>
  </si>
  <si>
    <t>066.350.891-60</t>
  </si>
  <si>
    <t>THIAGO ACCIOLY MARINHO</t>
  </si>
  <si>
    <t>423.248.661-53</t>
  </si>
  <si>
    <t>DÉBORA CALDEIRA DOS SANTOS</t>
  </si>
  <si>
    <t>225.545.561-72</t>
  </si>
  <si>
    <t>WANDERLEY BARBOSA DA SILVA</t>
  </si>
  <si>
    <t>280.650.851-72</t>
  </si>
  <si>
    <t>ORLENE PEREIRA DA SILVA BARRETO</t>
  </si>
  <si>
    <t>307.787.351-68</t>
  </si>
  <si>
    <t>CARLOS JOSÉ</t>
  </si>
  <si>
    <t>576.069.861-34</t>
  </si>
  <si>
    <t>FABRICE KELLY DE MEDEIROS</t>
  </si>
  <si>
    <t>100.209.773-87</t>
  </si>
  <si>
    <t>PAULO RODRIGUES DE LACERDA</t>
  </si>
  <si>
    <t>791.621.691-49</t>
  </si>
  <si>
    <t>FABRICIA CRAVEIRO SILVA FERRAZ MIGUEL</t>
  </si>
  <si>
    <t>118.847.201-10</t>
  </si>
  <si>
    <t>LUIZ GONZAGA FILHO</t>
  </si>
  <si>
    <t>049.746.461-68</t>
  </si>
  <si>
    <t>SILVIA BEATRIZ DE CARVALHO VILELA PACHECO</t>
  </si>
  <si>
    <t>958.137.131-15</t>
  </si>
  <si>
    <t>KATHIA MENDES DE MAGALHÃES</t>
  </si>
  <si>
    <t>208.061.917-91</t>
  </si>
  <si>
    <t>LUIZ CARLOS MARTINEZ</t>
  </si>
  <si>
    <t>053.308.151-34</t>
  </si>
  <si>
    <t>ALUISIO PEREIRA</t>
  </si>
  <si>
    <t>410.213.631-20</t>
  </si>
  <si>
    <t>GALDINA MARIA FERREIRA DE OLIVEIRA</t>
  </si>
  <si>
    <t>214.767.801-53</t>
  </si>
  <si>
    <t>MARIA LIBIA BEZERRA DE OLIVEIRA</t>
  </si>
  <si>
    <t>149.058.411-00</t>
  </si>
  <si>
    <t>ADENIL FERRAZ DE AGUIAR</t>
  </si>
  <si>
    <t>113.828.211-15</t>
  </si>
  <si>
    <t>MARILENE BATISTA SILVA DE GODOI</t>
  </si>
  <si>
    <t>323.188.631-72</t>
  </si>
  <si>
    <t>ZENILDA FRANCISCO DOS SANTOS</t>
  </si>
  <si>
    <t>282.313.748-33</t>
  </si>
  <si>
    <t>EMERSON TOTH</t>
  </si>
  <si>
    <t>921.760.546-87</t>
  </si>
  <si>
    <t>DÊNIS WILDSON DE OLIVEIRA</t>
  </si>
  <si>
    <t>170.260.831-04</t>
  </si>
  <si>
    <t>INEZ SOARES</t>
  </si>
  <si>
    <t>094.000.871-87</t>
  </si>
  <si>
    <t>LUIZ CARLOS DONATO DE SOUSA</t>
  </si>
  <si>
    <t>584.965.131-49</t>
  </si>
  <si>
    <t>MARIZA LIBANO DE ALMEIDA RODRIGUES</t>
  </si>
  <si>
    <t>700.686.311-20</t>
  </si>
  <si>
    <t>FAYLENNY RODRIGUES FERREIRA</t>
  </si>
  <si>
    <t>342.417.521-87</t>
  </si>
  <si>
    <t>TEREZILDA AUGUSTA FALEIRO SANTOS</t>
  </si>
  <si>
    <t>146.125.851-00</t>
  </si>
  <si>
    <t>MARIA LIBÂNIO DE ALMEIDA COSTA</t>
  </si>
  <si>
    <t>066.436.357-13</t>
  </si>
  <si>
    <t>PEDRO NOAH MARCONI</t>
  </si>
  <si>
    <t>490.742.371-34</t>
  </si>
  <si>
    <t>ALESSANDRA CASSIA NUNES DE FARIAS</t>
  </si>
  <si>
    <t>306.709.421-20</t>
  </si>
  <si>
    <t>SILAS HENRIQUE DE MENEZES</t>
  </si>
  <si>
    <t>159.874.341-49</t>
  </si>
  <si>
    <t>HENRIQUE MIRANDA DE ALMEIDA</t>
  </si>
  <si>
    <t>283.077.551-15</t>
  </si>
  <si>
    <t>VANILDA ALVIM ALCÂNTARA</t>
  </si>
  <si>
    <t>879.082.391-53</t>
  </si>
  <si>
    <t>KELIANE SANTOS ARANTES</t>
  </si>
  <si>
    <t>168.313.061-87</t>
  </si>
  <si>
    <t>JOÃO SILVA VIANA</t>
  </si>
  <si>
    <t>042.380.601-72</t>
  </si>
  <si>
    <t>OLDEMAR BEZERRA ANTUNES</t>
  </si>
  <si>
    <t>014.512.451-73</t>
  </si>
  <si>
    <t>PAULA RIBEIRO CUNHA</t>
  </si>
  <si>
    <t>222.124.851-15</t>
  </si>
  <si>
    <t>ANTONIO CARLOS DE LISBOA NEVES</t>
  </si>
  <si>
    <t>269.913.491-00</t>
  </si>
  <si>
    <t>MARGARETH PEREIRA DAMIÃO</t>
  </si>
  <si>
    <t>592.323.231-68</t>
  </si>
  <si>
    <t>CHRISTIANE CUNHA DE OLIVEIRA</t>
  </si>
  <si>
    <t>307.787.601-97</t>
  </si>
  <si>
    <t>HEBE CUNHA NEVES DE OLIVEIRA</t>
  </si>
  <si>
    <t>423.075.461-20</t>
  </si>
  <si>
    <t>MARIA APARECIDA BARBOSA</t>
  </si>
  <si>
    <t>155.040.771-68</t>
  </si>
  <si>
    <t>CELIO FERREIRA DA SILVA</t>
  </si>
  <si>
    <t>597.588.641-49</t>
  </si>
  <si>
    <t>PAULA CRISTINA CUNHA DE OLIVEIRA</t>
  </si>
  <si>
    <t>658.788.098-34</t>
  </si>
  <si>
    <t>ANTONIO DE MELO</t>
  </si>
  <si>
    <t>023.155.991-72</t>
  </si>
  <si>
    <t>OSMAR DA ROCHA CAMPOS</t>
  </si>
  <si>
    <t>279.331.561-34</t>
  </si>
  <si>
    <t>ERLANEA BISPO SIQUEIRA</t>
  </si>
  <si>
    <t>265.202.651-87</t>
  </si>
  <si>
    <t>JANE RIBEIRO DA SILVA</t>
  </si>
  <si>
    <t>393.096.901-78</t>
  </si>
  <si>
    <t>JUCELINO LUIZ DE MIRANDA</t>
  </si>
  <si>
    <t>607.421.601-06</t>
  </si>
  <si>
    <t>MARIA DONIZETE PEREIRA</t>
  </si>
  <si>
    <t>067.970.511-26</t>
  </si>
  <si>
    <t>MARIA CLARA SILVA ALVIM / ROMULO ALVIM</t>
  </si>
  <si>
    <t>509.526.171-53</t>
  </si>
  <si>
    <t>JOAQUIM MORIVALDO DOS REIS</t>
  </si>
  <si>
    <t>601.649.721-53</t>
  </si>
  <si>
    <t>MANOEL JOSÉ PIMENTA</t>
  </si>
  <si>
    <t>168.542.501-10</t>
  </si>
  <si>
    <t>ARMANDO MILHOMEM BANDEIRA / MARCILENE MILHOMEM</t>
  </si>
  <si>
    <t>553.838.151-04</t>
  </si>
  <si>
    <t>CECÍLIO APARECIDO GOMES DE ASSIS</t>
  </si>
  <si>
    <t>268.448.001-00</t>
  </si>
  <si>
    <t>MARTA LEONE PORTO</t>
  </si>
  <si>
    <t>131.842.291-49</t>
  </si>
  <si>
    <t>JOAQUIM BENEDITO CORREIA</t>
  </si>
  <si>
    <t>240.806.753-72</t>
  </si>
  <si>
    <t>RUBEM FERREIRA DE ARAUJO</t>
  </si>
  <si>
    <t>504.539.121-68</t>
  </si>
  <si>
    <t>DECLIEUX SOARES RIBEIRO</t>
  </si>
  <si>
    <t>411.076.241-34</t>
  </si>
  <si>
    <t>CARMELITA DE MARIA SANTOS</t>
  </si>
  <si>
    <t>158.910.891-49</t>
  </si>
  <si>
    <t>DIVINA CARDOSO P. PIRES</t>
  </si>
  <si>
    <t>348.533.406-53</t>
  </si>
  <si>
    <t>SEBASTIÃO CARLOS SALATIEL</t>
  </si>
  <si>
    <t>026.628.458-21</t>
  </si>
  <si>
    <t>DULCINEIA DE SOUZA</t>
  </si>
  <si>
    <t>306.762.458-03</t>
  </si>
  <si>
    <t>CELIZE GOMES DA COSTA</t>
  </si>
  <si>
    <t>396.882.912-34</t>
  </si>
  <si>
    <t>GUACYRENA MONTEIRO DOS SANTOS</t>
  </si>
  <si>
    <t>209.649.271-87</t>
  </si>
  <si>
    <t>SUELI PEREIRA DE PAULA</t>
  </si>
  <si>
    <t>559.089.006-30</t>
  </si>
  <si>
    <t>OZANA SILVA DONHA</t>
  </si>
  <si>
    <t>170.496.876-34</t>
  </si>
  <si>
    <t>ENES MOREIRA ALVES</t>
  </si>
  <si>
    <t>515.192.241-68</t>
  </si>
  <si>
    <t>SOLANGE MARIA DE ALCANTARA MOREIRA</t>
  </si>
  <si>
    <t>471.291.821-72</t>
  </si>
  <si>
    <t>STELLA JARDIM PORTELLA</t>
  </si>
  <si>
    <t>Jacarandás - JAC</t>
  </si>
  <si>
    <t>031.359.341-87</t>
  </si>
  <si>
    <t>TELMO AUGUSTO DE CARVALHO</t>
  </si>
  <si>
    <t>033.309.901-04</t>
  </si>
  <si>
    <t>TEREZINHA DOS PASSOS LIMA</t>
  </si>
  <si>
    <t>768.085.561-72</t>
  </si>
  <si>
    <t>ELIO MARCOS SOARES DIAS</t>
  </si>
  <si>
    <t>027.646.953-49</t>
  </si>
  <si>
    <t>GETÚLIO MARQUES</t>
  </si>
  <si>
    <t>122.944.702-49</t>
  </si>
  <si>
    <t>ROSE MARY CORREA SANTOS</t>
  </si>
  <si>
    <t>465.917.027-68</t>
  </si>
  <si>
    <t>RICARDO PAYSANO MARROCOS</t>
  </si>
  <si>
    <t>244.086.891-49</t>
  </si>
  <si>
    <t>ELISA GERALDA FEITOSA</t>
  </si>
  <si>
    <t>129.649.211-72</t>
  </si>
  <si>
    <t>MARIA BERENICE VIEIRA</t>
  </si>
  <si>
    <t>069.172.161-00</t>
  </si>
  <si>
    <t>BENEDITO PEREIRA DE LIMA</t>
  </si>
  <si>
    <t>195.459.671-53</t>
  </si>
  <si>
    <t>RONALDO MACHADO ROCHA</t>
  </si>
  <si>
    <t>524.784.161-15</t>
  </si>
  <si>
    <t>FERNANDO FARIAS DOS SANTOS</t>
  </si>
  <si>
    <t>007.596.531-35</t>
  </si>
  <si>
    <t>DIEGO VIEGAS BARBOSA</t>
  </si>
  <si>
    <t>089.495.491-15</t>
  </si>
  <si>
    <t>IONE MARIA DA SILVA</t>
  </si>
  <si>
    <t>169.519.991-04</t>
  </si>
  <si>
    <t>MARIA ZELIA PINHEIRO</t>
  </si>
  <si>
    <t>716.101.201-59</t>
  </si>
  <si>
    <t>CLOVIS PEREIRA DA SILVA</t>
  </si>
  <si>
    <t>045.697.768-68</t>
  </si>
  <si>
    <t>ELSA APARECIDA B L ANTUNES</t>
  </si>
  <si>
    <t>185.687.261-00</t>
  </si>
  <si>
    <t>EDUARDO MENDES VIEIRA DA GAMA</t>
  </si>
  <si>
    <t>258.108.041-87</t>
  </si>
  <si>
    <t>LUIZA MARIA FERREIRA PEREIRA</t>
  </si>
  <si>
    <t>114.440.291-34</t>
  </si>
  <si>
    <t>ANTONIO COELHO</t>
  </si>
  <si>
    <t>101.935.101-20</t>
  </si>
  <si>
    <t>FRANCISCO ALVES DE MENDONÇA</t>
  </si>
  <si>
    <t>125.194.051-04</t>
  </si>
  <si>
    <t>ROMERO BORGES CAMPOS</t>
  </si>
  <si>
    <t>512.467.328-15</t>
  </si>
  <si>
    <t>VALDIR ESTEVES</t>
  </si>
  <si>
    <t>191.912.511-68</t>
  </si>
  <si>
    <t>VERA LUCIA MARIA REBOUÇAS FERNANDES DE LIMA</t>
  </si>
  <si>
    <t>251.764.438-13</t>
  </si>
  <si>
    <t>FLAVIO MENDES LOPES DE QUEIROZ</t>
  </si>
  <si>
    <t>947.476.011-04</t>
  </si>
  <si>
    <t>RAFAEL RODRIGUES DA CRUZ</t>
  </si>
  <si>
    <t>008.392.351-94</t>
  </si>
  <si>
    <t>POLLYANA RODRIGUES DE OLIVEIRA</t>
  </si>
  <si>
    <t>054.722.101-00</t>
  </si>
  <si>
    <t>ANTONIO GOMES DA SILVA</t>
  </si>
  <si>
    <t>488.321.381-15</t>
  </si>
  <si>
    <t>ROGERIO WILSON LELIS CAIXETA</t>
  </si>
  <si>
    <t>084.897.848-09</t>
  </si>
  <si>
    <t>MARIA AUXILIADORA LOPES MARTINS</t>
  </si>
  <si>
    <t>822.137.041-04</t>
  </si>
  <si>
    <t>FLORIPES RODRIGUES SILVA CAMILO</t>
  </si>
  <si>
    <t>332.369.331-00</t>
  </si>
  <si>
    <t>VALERIA MACHADO FERREIRA</t>
  </si>
  <si>
    <t>244.586.351-15</t>
  </si>
  <si>
    <t>LAERCIO PERY</t>
  </si>
  <si>
    <t>083.671.241-20</t>
  </si>
  <si>
    <t>ELIZABETE B. R. DE SOUZA</t>
  </si>
  <si>
    <t>275.934.951-91</t>
  </si>
  <si>
    <t>MARIULA MENDONÇA DOS SANTOS</t>
  </si>
  <si>
    <t>095.971.661-00</t>
  </si>
  <si>
    <t>MOURALINDA DE PAULA ASSUNÇÃO LEÃO</t>
  </si>
  <si>
    <t>038.299.951-72</t>
  </si>
  <si>
    <t>CARLOS ALBERTO DE ALMEIDA</t>
  </si>
  <si>
    <t>795.434.051-15</t>
  </si>
  <si>
    <t>ROSICLER DA COSTA FREIRE</t>
  </si>
  <si>
    <t>228.487.381-20</t>
  </si>
  <si>
    <t>TARCISIO ROBERTO DE OLIVEIRA</t>
  </si>
  <si>
    <t>770.471.411-20</t>
  </si>
  <si>
    <t>EDSON LIMA DA SILVA</t>
  </si>
  <si>
    <t>986.809.516-68</t>
  </si>
  <si>
    <t>MARIA MACHADO DOS SANTOS</t>
  </si>
  <si>
    <t>008.681.938-01</t>
  </si>
  <si>
    <t>JOAQUIM BRANDINI NETO</t>
  </si>
  <si>
    <t>057.824.301-68</t>
  </si>
  <si>
    <t>EURIPEDES FERREIRA DE SOUZA</t>
  </si>
  <si>
    <t>547.870.411-34</t>
  </si>
  <si>
    <t>WILLIAN DEL. DUQUE DE LA TOUR E ALEN</t>
  </si>
  <si>
    <t>157.549.362-49</t>
  </si>
  <si>
    <t>VILMA MARIA DE OLIVEIRA SENA</t>
  </si>
  <si>
    <t>277.180.341-00</t>
  </si>
  <si>
    <t>SOLANGE ARRUDA MARQUES</t>
  </si>
  <si>
    <t>023.095.091-40</t>
  </si>
  <si>
    <t>ADÔNIS BORGES PEIXOTO CHEIM</t>
  </si>
  <si>
    <t>242.623.826-72</t>
  </si>
  <si>
    <t>CEZAR ESTEVES DO NASCIMENTO</t>
  </si>
  <si>
    <t>982.114.801-82</t>
  </si>
  <si>
    <t>DANIEL C. PINHEIRO / Mª CRISTINA P.C</t>
  </si>
  <si>
    <t>859.012.371-53</t>
  </si>
  <si>
    <t>VANESSA TAVARES STEFANI</t>
  </si>
  <si>
    <t>323.784.671-68</t>
  </si>
  <si>
    <t>MILTON MONTEIRO DE CASTRO</t>
  </si>
  <si>
    <t>057.108.201-72</t>
  </si>
  <si>
    <t>FRANCISCO MEDEIROS DE ARAUJO</t>
  </si>
  <si>
    <t>479.036.861-00</t>
  </si>
  <si>
    <t>RAQUEL GONDIM OLIVEIRA NAVES</t>
  </si>
  <si>
    <t>210.772.903-49</t>
  </si>
  <si>
    <t>LUIZ CLAUDIO NORMANDO</t>
  </si>
  <si>
    <t>161.023.981-49</t>
  </si>
  <si>
    <t>WANDER CARDOSO CORDEIRO</t>
  </si>
  <si>
    <t>409.067.878-15</t>
  </si>
  <si>
    <t>JORGELINO ANTONIO</t>
  </si>
  <si>
    <t>269.012.851-91</t>
  </si>
  <si>
    <t>MARIA DO ROSARIO PEREIRA DIAS</t>
  </si>
  <si>
    <t>Orquídeas - OR</t>
  </si>
  <si>
    <t>055.230.521-91</t>
  </si>
  <si>
    <t>IRACELIA DA SILVA</t>
  </si>
  <si>
    <t>002.865.241-04</t>
  </si>
  <si>
    <t>WALTER PEREIRA DE CASTRO</t>
  </si>
  <si>
    <t>278.013.301-53</t>
  </si>
  <si>
    <t>ANA RITA BRAGA BRITO</t>
  </si>
  <si>
    <t>500.433.821-34</t>
  </si>
  <si>
    <t>GISLENE MORAES</t>
  </si>
  <si>
    <t>075.079.251-53</t>
  </si>
  <si>
    <t>ALFREDO DAIR FERNANDES</t>
  </si>
  <si>
    <t>171.989.416-72</t>
  </si>
  <si>
    <t>ANTONIO PEREIRA NETO</t>
  </si>
  <si>
    <t>355.334.041-04</t>
  </si>
  <si>
    <t>WALQUIRIA PEIXOTO ALVES</t>
  </si>
  <si>
    <t>027.126.521-34</t>
  </si>
  <si>
    <t>JOAO BATISTA DE LIMA NETO</t>
  </si>
  <si>
    <t>253.639.211-20</t>
  </si>
  <si>
    <t>EDSON GODIM O. NAVES</t>
  </si>
  <si>
    <t>131.843.851-91</t>
  </si>
  <si>
    <t>NELZY APARECIDA DE MOURA LOUZA</t>
  </si>
  <si>
    <t>259.437.581-00</t>
  </si>
  <si>
    <t>NILVA TEIXEIRA MACHADO</t>
  </si>
  <si>
    <t>919.203.888-34</t>
  </si>
  <si>
    <t>FRANCISCO CARLOS DE CASTRO E OUTROS</t>
  </si>
  <si>
    <t>040.352.751-15</t>
  </si>
  <si>
    <t>MAURICIO VIEIRA DE CARVALHO</t>
  </si>
  <si>
    <t>898.016.608-72</t>
  </si>
  <si>
    <t>ALAIDE RITA DONATONI</t>
  </si>
  <si>
    <t>790.922.921-68</t>
  </si>
  <si>
    <t>CASIMILDO FERREIRA DIAS</t>
  </si>
  <si>
    <t>154.187.821-34</t>
  </si>
  <si>
    <t>MARIA HOLANDA LOPES DE CARVALHO</t>
  </si>
  <si>
    <t>297.786.891-72</t>
  </si>
  <si>
    <t>MARCIA BATISTA LEITE</t>
  </si>
  <si>
    <t>644.349.908-53</t>
  </si>
  <si>
    <t>CARLOS ROBERTO CORREIA</t>
  </si>
  <si>
    <t>819.850.107-04</t>
  </si>
  <si>
    <t>MARIA CLEUSA TEIXEIRA REZENDE</t>
  </si>
  <si>
    <t>106.468.257-04</t>
  </si>
  <si>
    <t>JOSE MARIA DAS GRAÇAS COSTA</t>
  </si>
  <si>
    <t>117.557.171-72</t>
  </si>
  <si>
    <t>DARCI MARIA DE FATIMA OKAMOTO</t>
  </si>
  <si>
    <t>219.499.561-72</t>
  </si>
  <si>
    <t>MARIA DE LOURDES M. ARAUJO</t>
  </si>
  <si>
    <t>622.915.301-78</t>
  </si>
  <si>
    <t>JEAN CARLOS DE LORENZI NUNES</t>
  </si>
  <si>
    <t>09.911.465/0001-79</t>
  </si>
  <si>
    <t>MF COMERCIO E REVESTIMENTO EM COURO LTDA</t>
  </si>
  <si>
    <t>345.103.111-68</t>
  </si>
  <si>
    <t>NEURENE DIAS FONTENELI</t>
  </si>
  <si>
    <t>131.093.161-53</t>
  </si>
  <si>
    <t>ROBERTO RODRIGUES DA SILVA</t>
  </si>
  <si>
    <t>044.639.191-34</t>
  </si>
  <si>
    <t>FLORISVAL BARBOSA DE ARAUJO</t>
  </si>
  <si>
    <t>268.313.331-68</t>
  </si>
  <si>
    <t>LEILA MARIA DE SÁ</t>
  </si>
  <si>
    <t>031.153.721-91</t>
  </si>
  <si>
    <t>MATEUS EUSTAQUIO MACHADO</t>
  </si>
  <si>
    <t>013.196.921-84</t>
  </si>
  <si>
    <t>JULIA REZENDE SILVA</t>
  </si>
  <si>
    <t>067.403.913-00</t>
  </si>
  <si>
    <t>LÚCIA FÁTIMA DE CARVALHO</t>
  </si>
  <si>
    <t>020.836.191-02</t>
  </si>
  <si>
    <t>DIEGO MAURICIO ABREU SANTOS DA CONCEIÇÃO</t>
  </si>
  <si>
    <t>527.739.658-68</t>
  </si>
  <si>
    <t>JOAO VIEIRA NETO</t>
  </si>
  <si>
    <t>029.361.271-49</t>
  </si>
  <si>
    <t>JOÃO PAULO MARTINS DE SOUZA</t>
  </si>
  <si>
    <t>014.166.262-04</t>
  </si>
  <si>
    <t>LINDINALVA MAMEDE</t>
  </si>
  <si>
    <t>853.305.901-91</t>
  </si>
  <si>
    <t>CARLA DA SILVA FERREIRA</t>
  </si>
  <si>
    <t>003.278.831-20</t>
  </si>
  <si>
    <t>JOSE ROBERTO LEITÃO E SILVA</t>
  </si>
  <si>
    <t>130.159.778-30</t>
  </si>
  <si>
    <t>SILVIA MARIA COLETTO</t>
  </si>
  <si>
    <t>008.189.418-04</t>
  </si>
  <si>
    <t>WALLAGE GALLI</t>
  </si>
  <si>
    <t>323.379.301-49</t>
  </si>
  <si>
    <t>ELAINE PEÇANHA FONSECA DA COSTA</t>
  </si>
  <si>
    <t>116.203.071-20</t>
  </si>
  <si>
    <t>VALFREDO VIEGAS DO VALLE</t>
  </si>
  <si>
    <t>269.053.531-91</t>
  </si>
  <si>
    <t>ASSIS DOS SANTOS RODRIGUES</t>
  </si>
  <si>
    <t>416.560.161-68</t>
  </si>
  <si>
    <t>DEUSIRENE ALVES DA SILVA</t>
  </si>
  <si>
    <t>048.147.448-03</t>
  </si>
  <si>
    <t>AGNALDO BERTUCCI</t>
  </si>
  <si>
    <t>022.622.881-94</t>
  </si>
  <si>
    <t>JAIR JUNIOR CALACIO JUSTINO</t>
  </si>
  <si>
    <t>130.020.151-72</t>
  </si>
  <si>
    <t>NIZE APOLLINARIO PEIXOTO</t>
  </si>
  <si>
    <t>990.445.601-15</t>
  </si>
  <si>
    <t>VANILDA CALACIO DA SILVA JUSTINO</t>
  </si>
  <si>
    <t>019.510.762-49</t>
  </si>
  <si>
    <t>LUIZ FERNANDO BRAGA NOBRE</t>
  </si>
  <si>
    <t>259.275.076-20</t>
  </si>
  <si>
    <t>RENY GONÇALVES DA SILVA</t>
  </si>
  <si>
    <t>040.073.521-00</t>
  </si>
  <si>
    <t>FAUSTO COELHO DA SILVA</t>
  </si>
  <si>
    <t>003.495.001-00</t>
  </si>
  <si>
    <t>DOMINGOS FONTOURA DUTRA</t>
  </si>
  <si>
    <t>781.252.601-10</t>
  </si>
  <si>
    <t>KARINE RODOVALHO MACHADO</t>
  </si>
  <si>
    <t>235.563.231-68</t>
  </si>
  <si>
    <t>JOSE DOS SANTOS MARTINS DE MOURA</t>
  </si>
  <si>
    <t>105.047.748-08</t>
  </si>
  <si>
    <t>MARCELO GRACIA CANASSA</t>
  </si>
  <si>
    <t>067.309.141-49</t>
  </si>
  <si>
    <t>MARA MEIRELES TAVEIRA</t>
  </si>
  <si>
    <t>382.826.661-49</t>
  </si>
  <si>
    <t>GERALDO MAJELLA JUNQUEIRA</t>
  </si>
  <si>
    <t>710.498.351-15</t>
  </si>
  <si>
    <t>NEUSA CARNEIRO DE CARVALHO</t>
  </si>
  <si>
    <t>368.812.791-91</t>
  </si>
  <si>
    <t>LEILA APARECIDA DE LIMA MARRA</t>
  </si>
  <si>
    <t>289.163.601-53</t>
  </si>
  <si>
    <t>FRANCISCA RODRIGUES VIANA</t>
  </si>
  <si>
    <t>017.040.951-15</t>
  </si>
  <si>
    <t>CARLOS ALBERTO GUIMARAES</t>
  </si>
  <si>
    <t>348.241.891-87</t>
  </si>
  <si>
    <t>ELIANE SOUZA SILVA</t>
  </si>
  <si>
    <t>791.619.361-20</t>
  </si>
  <si>
    <t>FABIANA CRAVEIRO SILVA FERRAZ BORGES</t>
  </si>
  <si>
    <t>508.633.981-20</t>
  </si>
  <si>
    <t>ÂNGELA CRISTINA MATIAS ESTEVES</t>
  </si>
  <si>
    <t>068.173.001-34</t>
  </si>
  <si>
    <t>AURELINA RODRIGUES MACAMBIRA</t>
  </si>
  <si>
    <t>755.502.881-68</t>
  </si>
  <si>
    <t>YANKO BATISTA LLOBET</t>
  </si>
  <si>
    <t>239.586.691-15</t>
  </si>
  <si>
    <t>JOAQUIM RODRIGUES DE OLIVEIRA</t>
  </si>
  <si>
    <t>024.024.751-53</t>
  </si>
  <si>
    <t>OLGA MARIA REZENDE ANDRADE</t>
  </si>
  <si>
    <t>664.382.331-53</t>
  </si>
  <si>
    <t>PAULO CESAR DE ANDRADE</t>
  </si>
  <si>
    <t>727.593.134-68</t>
  </si>
  <si>
    <t>PEDRO APOLINÁRIO DA SILVA</t>
  </si>
  <si>
    <t>093.263.081-20</t>
  </si>
  <si>
    <t>FERNANDO RODRIGUES DA SILVA</t>
  </si>
  <si>
    <t>556.986.891-72</t>
  </si>
  <si>
    <t>CLAUDIA MAIA SILVA CALAÇA</t>
  </si>
  <si>
    <t>014.135.461-53</t>
  </si>
  <si>
    <t>JALLES VALLE DE MELLO</t>
  </si>
  <si>
    <t>057.995.381-53</t>
  </si>
  <si>
    <t>MARIA LUCIA FERREIRA PANTOJA</t>
  </si>
  <si>
    <t>228.475.451-15</t>
  </si>
  <si>
    <t>HAROLDO DE OLIVEIRA TORRES</t>
  </si>
  <si>
    <t>723.814.501-49</t>
  </si>
  <si>
    <t>EDNA QUEIROZ AFONSO</t>
  </si>
  <si>
    <t>067.036.311-15</t>
  </si>
  <si>
    <t>RAIMUNDO DE LIMA BARROS</t>
  </si>
  <si>
    <t>009.774.217-16</t>
  </si>
  <si>
    <t>DINAIR PEREIRA DA SILVA</t>
  </si>
  <si>
    <t>015.553.596-04</t>
  </si>
  <si>
    <t>CARMELINA AMELIA DA SILVA</t>
  </si>
  <si>
    <t>282.205.951-91</t>
  </si>
  <si>
    <t>ZULEIDE BRITO LOBO</t>
  </si>
  <si>
    <t>413.019.781-91</t>
  </si>
  <si>
    <t>CLEONICE MEDEIROS DE SOUSA</t>
  </si>
  <si>
    <t>096.707.001-59</t>
  </si>
  <si>
    <t>HELIO MARCOS NEIVA</t>
  </si>
  <si>
    <t>003.512.371-00</t>
  </si>
  <si>
    <t>ROBERTO VIEIRA PORTO</t>
  </si>
  <si>
    <t>123.893.311-49</t>
  </si>
  <si>
    <t>IDEONE B. DOS SANTOS SOUSA</t>
  </si>
  <si>
    <t>083.046.291-00</t>
  </si>
  <si>
    <t>VERA LUCIA FREIRE DE MOURA</t>
  </si>
  <si>
    <t>010.981.281-68</t>
  </si>
  <si>
    <t>CLODOALDO BEZERRA DA SILVA</t>
  </si>
  <si>
    <t>136.942.861-87</t>
  </si>
  <si>
    <t>608.719.388-04</t>
  </si>
  <si>
    <t>SIDNEI REZENDE STRAUSS</t>
  </si>
  <si>
    <t>375.874.551-91</t>
  </si>
  <si>
    <t>ITARACI PEDREIRA LOBO</t>
  </si>
  <si>
    <t>183.065.351-20</t>
  </si>
  <si>
    <t>EDMILSON ALVES DA CUNHA</t>
  </si>
  <si>
    <t>762.961.211-72</t>
  </si>
  <si>
    <t>IVÂNIO JOSÉ DA ROCHA JUNIOR</t>
  </si>
  <si>
    <t>116.550.891-53</t>
  </si>
  <si>
    <t>ZILDA ANA DE MORAIS</t>
  </si>
  <si>
    <t>067.812.331-49</t>
  </si>
  <si>
    <t>HILARINO FERREIRA BORGES</t>
  </si>
  <si>
    <t>Pitangueiras - PIT</t>
  </si>
  <si>
    <t>208.775.528-00</t>
  </si>
  <si>
    <t>GEORGES BLAHOBRAZOFF</t>
  </si>
  <si>
    <t>435.312.021-20</t>
  </si>
  <si>
    <t>ARIONE SOARES MARQUES</t>
  </si>
  <si>
    <t>527.815.774-72</t>
  </si>
  <si>
    <t>AURIDEA CASTRO FALCÃO FERNANDES</t>
  </si>
  <si>
    <t>035.240.041-21</t>
  </si>
  <si>
    <t>FÁBIO TIAGO VIEIRA S. MARQUES</t>
  </si>
  <si>
    <t>038.830.431-68</t>
  </si>
  <si>
    <t>ARQUIMEDES CAMELO DE PAIVA</t>
  </si>
  <si>
    <t>029.076.661-34</t>
  </si>
  <si>
    <t>JESO MARCIO MEIRA</t>
  </si>
  <si>
    <t>704.821.631-00</t>
  </si>
  <si>
    <t>KATYA ALVES DA SILVA</t>
  </si>
  <si>
    <t>760.039.818-49</t>
  </si>
  <si>
    <t>BENTO ROKUROU HAMATSU</t>
  </si>
  <si>
    <t>258.996.861-20</t>
  </si>
  <si>
    <t>WALLACE RABELO TOLENTINO</t>
  </si>
  <si>
    <t>398.635.221-04</t>
  </si>
  <si>
    <t>MARENIR RIBEIRO DA SILVA</t>
  </si>
  <si>
    <t>099.936.222-49</t>
  </si>
  <si>
    <t>JAIR MENDONÇA PEREIRA</t>
  </si>
  <si>
    <t>710.142.251-91</t>
  </si>
  <si>
    <t>PATRICIA RODRIGUES RIBEIRO BORBA</t>
  </si>
  <si>
    <t>910.705.111-53</t>
  </si>
  <si>
    <t>SAULA ARLETH DA SILVA</t>
  </si>
  <si>
    <t>037.135.631-87</t>
  </si>
  <si>
    <t>EDESIO FRANCISCO DE OLIVEIRA</t>
  </si>
  <si>
    <t>387.458.791-68</t>
  </si>
  <si>
    <t>WERLEY MARTINS PEREIRA</t>
  </si>
  <si>
    <t>323.184.991-87</t>
  </si>
  <si>
    <t>SILVANIA SANTOS RODRIGUES</t>
  </si>
  <si>
    <t>240.417.856-34</t>
  </si>
  <si>
    <t>NIVIO VALTER DIAS</t>
  </si>
  <si>
    <t>084.268.721-15</t>
  </si>
  <si>
    <t>JULIO MARIA</t>
  </si>
  <si>
    <t>019.253.661-38</t>
  </si>
  <si>
    <t>EDUARDO PEREIRA SOUSA</t>
  </si>
  <si>
    <t>276.463.351-34</t>
  </si>
  <si>
    <t>NEIDEMAR ALVIRA DA SILVA</t>
  </si>
  <si>
    <t>360.422.181-15</t>
  </si>
  <si>
    <t>HENRIQUE CÉLIO MARTINS COELHO</t>
  </si>
  <si>
    <t>223.599.661-20</t>
  </si>
  <si>
    <t>MARIA DO ROSÁRIO C. RAMOS</t>
  </si>
  <si>
    <t>088.385.001-00</t>
  </si>
  <si>
    <t>JOSE VALDO PINHEIRO</t>
  </si>
  <si>
    <t>059.361.791-68</t>
  </si>
  <si>
    <t>ALBERTO DE CASTRO E SILVA</t>
  </si>
  <si>
    <t>359.661.901-78</t>
  </si>
  <si>
    <t>ROSANA MARIA GUIMARAES MANSO</t>
  </si>
  <si>
    <t>265.507.501-30</t>
  </si>
  <si>
    <t>DEBORA SOUZA MENEZES</t>
  </si>
  <si>
    <t>865.417.811-68</t>
  </si>
  <si>
    <t>PAULO HENRIQUE RODRIGUES DI SOUSA</t>
  </si>
  <si>
    <t>154.961.391-04</t>
  </si>
  <si>
    <t>JOÃO PIRES PEREIRA</t>
  </si>
  <si>
    <t>020.999.771-00</t>
  </si>
  <si>
    <t>JAIR CAMPOS</t>
  </si>
  <si>
    <t>516.907.488-34</t>
  </si>
  <si>
    <t>DIMAS RODRIGUES</t>
  </si>
  <si>
    <t>952.684.214-68</t>
  </si>
  <si>
    <t>JAIRON JAKSON ALMEIDA MARQUES</t>
  </si>
  <si>
    <t>008.267.401-97</t>
  </si>
  <si>
    <t>ROMEU SCALON</t>
  </si>
  <si>
    <t>101.606.711-91</t>
  </si>
  <si>
    <t>SERGIO ANTONIO FONSECA</t>
  </si>
  <si>
    <t>243.118.121-91</t>
  </si>
  <si>
    <t>CARMEM MARIZIA UNGARELLI</t>
  </si>
  <si>
    <t>124.190.361-15</t>
  </si>
  <si>
    <t>ANICELIO CUSTODIO FERREIRA</t>
  </si>
  <si>
    <t>538.526.801-15</t>
  </si>
  <si>
    <t>ANDRE MATTAR</t>
  </si>
  <si>
    <t>015.339.832-91</t>
  </si>
  <si>
    <t>JOSE ROBERTO DE FREITAS</t>
  </si>
  <si>
    <t>122.069.621-87</t>
  </si>
  <si>
    <t>ANTONIO GONCALVES GOMES</t>
  </si>
  <si>
    <t>149.821.101-15</t>
  </si>
  <si>
    <t>FARID MATTAR JUNIOR</t>
  </si>
  <si>
    <t>032.429.941-91</t>
  </si>
  <si>
    <t>CLEMENTE MARQUES DA SILVA</t>
  </si>
  <si>
    <t>328.366.431-53</t>
  </si>
  <si>
    <t>CARLOS ANTONIO SILVESTRE</t>
  </si>
  <si>
    <t>941.042.041-53</t>
  </si>
  <si>
    <t>ANA MARIA LOPES</t>
  </si>
  <si>
    <t>130.090.101-25</t>
  </si>
  <si>
    <t>DIVANY PIRES DE CARVALHO</t>
  </si>
  <si>
    <t>160.162.541-34</t>
  </si>
  <si>
    <t>ERNANI ARAUJO DA SILVA</t>
  </si>
  <si>
    <t>171.926.686-72</t>
  </si>
  <si>
    <t>LUIZ CARLOS DA MATA</t>
  </si>
  <si>
    <t>116.958.408-01</t>
  </si>
  <si>
    <t>CASSIO RESENDE NARDON</t>
  </si>
  <si>
    <t>170.404.181-34</t>
  </si>
  <si>
    <t>JOSE MARIA DE ASSIS</t>
  </si>
  <si>
    <t>202.036.161-20</t>
  </si>
  <si>
    <t>ROSANE MIOTTO DE OLIVEIRA</t>
  </si>
  <si>
    <t>125.925.011-34</t>
  </si>
  <si>
    <t>CARMEM LUCIA DO SANTOS GOMES</t>
  </si>
  <si>
    <t>150.840.941-20</t>
  </si>
  <si>
    <t>ALVARINDA PEREIRA FARIAS</t>
  </si>
  <si>
    <t>065.318.278-31</t>
  </si>
  <si>
    <t>ARLINDA DE CASTRO CERQUEIRA</t>
  </si>
  <si>
    <t>950.133.188-15</t>
  </si>
  <si>
    <t>CICERO DOS SANTOS TEIXEIRA</t>
  </si>
  <si>
    <t>023.340.381-72</t>
  </si>
  <si>
    <t>CLEUSA TEIXEIRA DAS NEVES</t>
  </si>
  <si>
    <t>396.845.478-20</t>
  </si>
  <si>
    <t>IVONE APARECIDA S GRAVINA</t>
  </si>
  <si>
    <t>072.659.211-00</t>
  </si>
  <si>
    <t>VLADEMIR RODRIGUES DE SOUZA</t>
  </si>
  <si>
    <t>071.421.021-87</t>
  </si>
  <si>
    <t>ALOISIO RODRIGUES</t>
  </si>
  <si>
    <t>052.199.651-15</t>
  </si>
  <si>
    <t>MANOEL NAZARENO E SILVA</t>
  </si>
  <si>
    <t>376.733.861-00</t>
  </si>
  <si>
    <t>MARIA DE JESUS BORGES FERNANDES</t>
  </si>
  <si>
    <t>142.281.088-73</t>
  </si>
  <si>
    <t>TAMIKO SATO</t>
  </si>
  <si>
    <t>184.821.551-72</t>
  </si>
  <si>
    <t>TEREZINHA ARARUNA DE ALMEIDA</t>
  </si>
  <si>
    <t>958.627.301-68</t>
  </si>
  <si>
    <t>CYNTHIA MARIA MARTINS DE PAIVA NOGUEIRA</t>
  </si>
  <si>
    <t>305.339.371-91</t>
  </si>
  <si>
    <t>VILMA ARANTES MARTINS</t>
  </si>
  <si>
    <t>169.165.571-68</t>
  </si>
  <si>
    <t>EDUARDO PESSANHA FONSECA</t>
  </si>
  <si>
    <t>219.503.931-00</t>
  </si>
  <si>
    <t>FRANCISCO MIGUEL CANDIDO</t>
  </si>
  <si>
    <t>066.348.931-87</t>
  </si>
  <si>
    <t>NAIN RODRIGUES</t>
  </si>
  <si>
    <t>126.550.901-87</t>
  </si>
  <si>
    <t>MANOEL FRANCISCO DA SILVA</t>
  </si>
  <si>
    <t>634.577.501-06</t>
  </si>
  <si>
    <t>ADRIANE DE SOUSA DURÃES</t>
  </si>
  <si>
    <t>029.008.821-68</t>
  </si>
  <si>
    <t>PEDRO NOLASCO DE REZENDE</t>
  </si>
  <si>
    <t>308.502.151-53</t>
  </si>
  <si>
    <t>GILSON MOREIRA DA SILVA</t>
  </si>
  <si>
    <t>004.571.241-72</t>
  </si>
  <si>
    <t>LAZARO VENERANDO DOS SANTOS</t>
  </si>
  <si>
    <t>238.536.031-49</t>
  </si>
  <si>
    <t>MARIA SELMA DE OLIVEIRA GONTIJO</t>
  </si>
  <si>
    <t>168.010.878-60</t>
  </si>
  <si>
    <t>MARIA DOS SANTOS JUSTINO</t>
  </si>
  <si>
    <t>145.618.246-34</t>
  </si>
  <si>
    <t>ARNALDO NADIM MIZIARA</t>
  </si>
  <si>
    <t>718.142.488-20</t>
  </si>
  <si>
    <t>GENÉSIO PACIFICO MAGALHÃES</t>
  </si>
  <si>
    <t>486.492.951-34</t>
  </si>
  <si>
    <t>MARGARIDA MARIA DE SOUSA</t>
  </si>
  <si>
    <t>121.317.686-72</t>
  </si>
  <si>
    <t>WASHINGTON JOSE DE LYRA</t>
  </si>
  <si>
    <t>335.502.041-91</t>
  </si>
  <si>
    <t>NORVAL RAIMUNDO BARBOSA</t>
  </si>
  <si>
    <t>004.445.371-04</t>
  </si>
  <si>
    <t>LOURIVAL PEREIRA DOS SANTOS</t>
  </si>
  <si>
    <t>020.838.331-04</t>
  </si>
  <si>
    <t>JURANDIR MEIRELES</t>
  </si>
  <si>
    <t>002.697.601-30</t>
  </si>
  <si>
    <t>ANTONIO ROBERTO DE TOLEDO</t>
  </si>
  <si>
    <t>042.155.401-00</t>
  </si>
  <si>
    <t>PAULO SERGIO RAMOS</t>
  </si>
  <si>
    <t>098.659.261-72</t>
  </si>
  <si>
    <t>LAUZITA TEIXEIRA DOS REIS SILVA</t>
  </si>
  <si>
    <t>101.989.701-53</t>
  </si>
  <si>
    <t>NIVALDO ROBERTO GOMES</t>
  </si>
  <si>
    <t>397.133.774-00</t>
  </si>
  <si>
    <t>JACKSON BATISTA SILVA</t>
  </si>
  <si>
    <t>206.620.256-87</t>
  </si>
  <si>
    <t>AUGUSTO PEREIRA DA SILVA</t>
  </si>
  <si>
    <t>243.993.611-15</t>
  </si>
  <si>
    <t>ERALDO ALVES BARBOSA</t>
  </si>
  <si>
    <t>114.632.101-59</t>
  </si>
  <si>
    <t>BELCHIOR CLEMENTE DA COSTA</t>
  </si>
  <si>
    <t>314.744.971-87</t>
  </si>
  <si>
    <t>JOSE GONCALVES DO NASCIMENTO</t>
  </si>
  <si>
    <t>Referencia</t>
  </si>
  <si>
    <t>Inadimplencia - FEV 2025</t>
  </si>
  <si>
    <t>Inadimplencia - OUT 2025</t>
  </si>
  <si>
    <t>AZ003</t>
  </si>
  <si>
    <t>AZ004</t>
  </si>
  <si>
    <t>AZ006</t>
  </si>
  <si>
    <t>AZ011</t>
  </si>
  <si>
    <t>AZ012</t>
  </si>
  <si>
    <t>AZ013</t>
  </si>
  <si>
    <t>AZ014</t>
  </si>
  <si>
    <t>AZ015</t>
  </si>
  <si>
    <t>AZ017</t>
  </si>
  <si>
    <t>AZ018</t>
  </si>
  <si>
    <t>AZ019</t>
  </si>
  <si>
    <t>AZ020</t>
  </si>
  <si>
    <t>AZ021</t>
  </si>
  <si>
    <t>AZ022</t>
  </si>
  <si>
    <t>AZ024</t>
  </si>
  <si>
    <t>AZ025</t>
  </si>
  <si>
    <t>AZ027</t>
  </si>
  <si>
    <t>AZ028</t>
  </si>
  <si>
    <t>AZ029</t>
  </si>
  <si>
    <t>AZ031</t>
  </si>
  <si>
    <t>AZ032</t>
  </si>
  <si>
    <t>AZ033</t>
  </si>
  <si>
    <t>AZ034</t>
  </si>
  <si>
    <t>AZ035</t>
  </si>
  <si>
    <t>AZ036</t>
  </si>
  <si>
    <t>AZ037</t>
  </si>
  <si>
    <t>AZ040</t>
  </si>
  <si>
    <t>AZ041</t>
  </si>
  <si>
    <t>AZ042</t>
  </si>
  <si>
    <t>AZ043</t>
  </si>
  <si>
    <t>AZ044</t>
  </si>
  <si>
    <t>AZ045</t>
  </si>
  <si>
    <t>AZ046</t>
  </si>
  <si>
    <t>AZ048</t>
  </si>
  <si>
    <t>AZ049</t>
  </si>
  <si>
    <t>AZ050</t>
  </si>
  <si>
    <t>AZ051</t>
  </si>
  <si>
    <t>AZ052</t>
  </si>
  <si>
    <t>AZ053</t>
  </si>
  <si>
    <t>AZ054</t>
  </si>
  <si>
    <t>AZ055</t>
  </si>
  <si>
    <t>AZ056</t>
  </si>
  <si>
    <t>AZ057</t>
  </si>
  <si>
    <t>AZ060</t>
  </si>
  <si>
    <t>AZ061</t>
  </si>
  <si>
    <t>AZ063</t>
  </si>
  <si>
    <t>AZ065</t>
  </si>
  <si>
    <t>AZ066</t>
  </si>
  <si>
    <t>AZ067</t>
  </si>
  <si>
    <t>AZ071</t>
  </si>
  <si>
    <t>AZ072</t>
  </si>
  <si>
    <t>AZ073</t>
  </si>
  <si>
    <t>AZ074</t>
  </si>
  <si>
    <t>AZ075</t>
  </si>
  <si>
    <t>AZ076</t>
  </si>
  <si>
    <t>AZ077</t>
  </si>
  <si>
    <t>AZ078</t>
  </si>
  <si>
    <t>AZ079</t>
  </si>
  <si>
    <t>AZ080</t>
  </si>
  <si>
    <t>AZ081</t>
  </si>
  <si>
    <t>AZ082</t>
  </si>
  <si>
    <t>AZ083</t>
  </si>
  <si>
    <t>AZ084</t>
  </si>
  <si>
    <t>AZ085</t>
  </si>
  <si>
    <t>AZ086</t>
  </si>
  <si>
    <t>AZ088</t>
  </si>
  <si>
    <t>AZ089</t>
  </si>
  <si>
    <t>AZ090</t>
  </si>
  <si>
    <t>AZ091</t>
  </si>
  <si>
    <t>AZ092</t>
  </si>
  <si>
    <t>AZ094</t>
  </si>
  <si>
    <t>AZ095</t>
  </si>
  <si>
    <t>AZ096</t>
  </si>
  <si>
    <t>AZ097</t>
  </si>
  <si>
    <t>AZ098</t>
  </si>
  <si>
    <t>AZ099</t>
  </si>
  <si>
    <t>AZ100</t>
  </si>
  <si>
    <t>AZ101</t>
  </si>
  <si>
    <t>AZ102</t>
  </si>
  <si>
    <t>AZ103</t>
  </si>
  <si>
    <t>AZ104</t>
  </si>
  <si>
    <t>AZ105</t>
  </si>
  <si>
    <t>AZ106</t>
  </si>
  <si>
    <t>AZ107</t>
  </si>
  <si>
    <t>AZ108</t>
  </si>
  <si>
    <t>AZ109</t>
  </si>
  <si>
    <t>AZ110</t>
  </si>
  <si>
    <t>AZ111</t>
  </si>
  <si>
    <t>AZ112</t>
  </si>
  <si>
    <t>AZ113</t>
  </si>
  <si>
    <t>AZ114</t>
  </si>
  <si>
    <t>BO001</t>
  </si>
  <si>
    <t>BO002</t>
  </si>
  <si>
    <t>BO003</t>
  </si>
  <si>
    <t>BO004</t>
  </si>
  <si>
    <t>BO007</t>
  </si>
  <si>
    <t>BO008</t>
  </si>
  <si>
    <t>BO009</t>
  </si>
  <si>
    <t>BO010</t>
  </si>
  <si>
    <t>BO011</t>
  </si>
  <si>
    <t>BO012</t>
  </si>
  <si>
    <t>BO013</t>
  </si>
  <si>
    <t>BO014</t>
  </si>
  <si>
    <t>BO015</t>
  </si>
  <si>
    <t>BO016</t>
  </si>
  <si>
    <t>BO019</t>
  </si>
  <si>
    <t>BO020</t>
  </si>
  <si>
    <t>BO021</t>
  </si>
  <si>
    <t>BO022</t>
  </si>
  <si>
    <t>BO023</t>
  </si>
  <si>
    <t>BO024</t>
  </si>
  <si>
    <t>BO025</t>
  </si>
  <si>
    <t>BO026</t>
  </si>
  <si>
    <t>BO027</t>
  </si>
  <si>
    <t>BO032</t>
  </si>
  <si>
    <t>BO034</t>
  </si>
  <si>
    <t>BO035</t>
  </si>
  <si>
    <t>BO036</t>
  </si>
  <si>
    <t>BO037</t>
  </si>
  <si>
    <t>BO038</t>
  </si>
  <si>
    <t>BO039</t>
  </si>
  <si>
    <t>BO040</t>
  </si>
  <si>
    <t>BO043</t>
  </si>
  <si>
    <t>BO044</t>
  </si>
  <si>
    <t>BO045</t>
  </si>
  <si>
    <t>BO046</t>
  </si>
  <si>
    <t>BO047</t>
  </si>
  <si>
    <t>BO049</t>
  </si>
  <si>
    <t>BO050</t>
  </si>
  <si>
    <t>BO051</t>
  </si>
  <si>
    <t>BO052</t>
  </si>
  <si>
    <t>BO053</t>
  </si>
  <si>
    <t>BO054</t>
  </si>
  <si>
    <t>BO056</t>
  </si>
  <si>
    <t>BO057</t>
  </si>
  <si>
    <t>BO058</t>
  </si>
  <si>
    <t>BO059</t>
  </si>
  <si>
    <t>BO060</t>
  </si>
  <si>
    <t>BO061</t>
  </si>
  <si>
    <t>BO062</t>
  </si>
  <si>
    <t>BO063</t>
  </si>
  <si>
    <t>BO064</t>
  </si>
  <si>
    <t>BO065</t>
  </si>
  <si>
    <t>BO066</t>
  </si>
  <si>
    <t>BO067</t>
  </si>
  <si>
    <t>BO069</t>
  </si>
  <si>
    <t>BO070</t>
  </si>
  <si>
    <t>BO071</t>
  </si>
  <si>
    <t>BO072</t>
  </si>
  <si>
    <t>BO073</t>
  </si>
  <si>
    <t>BO074</t>
  </si>
  <si>
    <t>BO075</t>
  </si>
  <si>
    <t>BO076</t>
  </si>
  <si>
    <t>BO077</t>
  </si>
  <si>
    <t>BO079</t>
  </si>
  <si>
    <t>BO080</t>
  </si>
  <si>
    <t>BO081</t>
  </si>
  <si>
    <t>BO082</t>
  </si>
  <si>
    <t>BO083</t>
  </si>
  <si>
    <t>BO084</t>
  </si>
  <si>
    <t>BO085</t>
  </si>
  <si>
    <t>BO087</t>
  </si>
  <si>
    <t>BO088</t>
  </si>
  <si>
    <t>BO089</t>
  </si>
  <si>
    <t>BO090</t>
  </si>
  <si>
    <t>BO091</t>
  </si>
  <si>
    <t>BO092</t>
  </si>
  <si>
    <t>BO093</t>
  </si>
  <si>
    <t>BO094</t>
  </si>
  <si>
    <t>BO095</t>
  </si>
  <si>
    <t>BO096</t>
  </si>
  <si>
    <t>BO097</t>
  </si>
  <si>
    <t>BO098</t>
  </si>
  <si>
    <t>BO099</t>
  </si>
  <si>
    <t>BO100</t>
  </si>
  <si>
    <t>BO101</t>
  </si>
  <si>
    <t>BO102</t>
  </si>
  <si>
    <t>BO103</t>
  </si>
  <si>
    <t>BO106</t>
  </si>
  <si>
    <t>BO107</t>
  </si>
  <si>
    <t>BO109</t>
  </si>
  <si>
    <t>BO113</t>
  </si>
  <si>
    <t>GA002</t>
  </si>
  <si>
    <t>GA005</t>
  </si>
  <si>
    <t>GA006</t>
  </si>
  <si>
    <t>GA007</t>
  </si>
  <si>
    <t>GA008</t>
  </si>
  <si>
    <t>GA009</t>
  </si>
  <si>
    <t>GA010</t>
  </si>
  <si>
    <t>GA011</t>
  </si>
  <si>
    <t>GA012</t>
  </si>
  <si>
    <t>GA013</t>
  </si>
  <si>
    <t>GA014</t>
  </si>
  <si>
    <t>GA016</t>
  </si>
  <si>
    <t>GA017</t>
  </si>
  <si>
    <t>GA018</t>
  </si>
  <si>
    <t>GA019</t>
  </si>
  <si>
    <t>GA020</t>
  </si>
  <si>
    <t>GA021</t>
  </si>
  <si>
    <t>GA023</t>
  </si>
  <si>
    <t>GA024</t>
  </si>
  <si>
    <t>GA025</t>
  </si>
  <si>
    <t>GA027</t>
  </si>
  <si>
    <t>GA028</t>
  </si>
  <si>
    <t>GA029</t>
  </si>
  <si>
    <t>GA031</t>
  </si>
  <si>
    <t>GA032</t>
  </si>
  <si>
    <t>GA033</t>
  </si>
  <si>
    <t>GA034</t>
  </si>
  <si>
    <t>GA035</t>
  </si>
  <si>
    <t>GA036</t>
  </si>
  <si>
    <t>GA037</t>
  </si>
  <si>
    <t>GA039</t>
  </si>
  <si>
    <t>GA041</t>
  </si>
  <si>
    <t>GA042</t>
  </si>
  <si>
    <t>GA043</t>
  </si>
  <si>
    <t>GA044</t>
  </si>
  <si>
    <t>GA045</t>
  </si>
  <si>
    <t>GA048</t>
  </si>
  <si>
    <t>GA049</t>
  </si>
  <si>
    <t>GA050</t>
  </si>
  <si>
    <t>GA051</t>
  </si>
  <si>
    <t>GA052</t>
  </si>
  <si>
    <t>GA053</t>
  </si>
  <si>
    <t>GA054</t>
  </si>
  <si>
    <t>GA056</t>
  </si>
  <si>
    <t>GA058</t>
  </si>
  <si>
    <t>GA059</t>
  </si>
  <si>
    <t>GA060</t>
  </si>
  <si>
    <t>GA061</t>
  </si>
  <si>
    <t>GA062</t>
  </si>
  <si>
    <t>GA063</t>
  </si>
  <si>
    <t>GA064</t>
  </si>
  <si>
    <t>GA065</t>
  </si>
  <si>
    <t>GA066</t>
  </si>
  <si>
    <t>GA067</t>
  </si>
  <si>
    <t>GA068</t>
  </si>
  <si>
    <t>GA069</t>
  </si>
  <si>
    <t>GA070</t>
  </si>
  <si>
    <t>GA071</t>
  </si>
  <si>
    <t>GA072</t>
  </si>
  <si>
    <t>GA074</t>
  </si>
  <si>
    <t>GA076</t>
  </si>
  <si>
    <t>GA077</t>
  </si>
  <si>
    <t>GA078</t>
  </si>
  <si>
    <t>JA001</t>
  </si>
  <si>
    <t>JA004</t>
  </si>
  <si>
    <t>JA005</t>
  </si>
  <si>
    <t>JA006</t>
  </si>
  <si>
    <t>JA007</t>
  </si>
  <si>
    <t>JA008</t>
  </si>
  <si>
    <t>JA009</t>
  </si>
  <si>
    <t>JA010</t>
  </si>
  <si>
    <t>JA011</t>
  </si>
  <si>
    <t>JA013</t>
  </si>
  <si>
    <t>JA014</t>
  </si>
  <si>
    <t>JA015</t>
  </si>
  <si>
    <t>JA017</t>
  </si>
  <si>
    <t>JA018</t>
  </si>
  <si>
    <t>JA019</t>
  </si>
  <si>
    <t>JA020</t>
  </si>
  <si>
    <t>JA022</t>
  </si>
  <si>
    <t>JA023</t>
  </si>
  <si>
    <t>JA024</t>
  </si>
  <si>
    <t>JA025</t>
  </si>
  <si>
    <t>JA026</t>
  </si>
  <si>
    <t>JA027</t>
  </si>
  <si>
    <t>JA028</t>
  </si>
  <si>
    <t>JA029</t>
  </si>
  <si>
    <t>JA032</t>
  </si>
  <si>
    <t>JA034</t>
  </si>
  <si>
    <t>JA035</t>
  </si>
  <si>
    <t>JA036</t>
  </si>
  <si>
    <t>JA037</t>
  </si>
  <si>
    <t>JA038</t>
  </si>
  <si>
    <t>JA039</t>
  </si>
  <si>
    <t>JA040</t>
  </si>
  <si>
    <t>JA041</t>
  </si>
  <si>
    <t>JA042</t>
  </si>
  <si>
    <t>JA043</t>
  </si>
  <si>
    <t>JA045</t>
  </si>
  <si>
    <t>JA046</t>
  </si>
  <si>
    <t>JA047</t>
  </si>
  <si>
    <t>JA048</t>
  </si>
  <si>
    <t>JA049</t>
  </si>
  <si>
    <t>JA050</t>
  </si>
  <si>
    <t>JA051</t>
  </si>
  <si>
    <t>JA054</t>
  </si>
  <si>
    <t>JA055</t>
  </si>
  <si>
    <t>JA056</t>
  </si>
  <si>
    <t>JA057</t>
  </si>
  <si>
    <t>JA058</t>
  </si>
  <si>
    <t>OR001</t>
  </si>
  <si>
    <t>OR002</t>
  </si>
  <si>
    <t>OR003</t>
  </si>
  <si>
    <t>OR004</t>
  </si>
  <si>
    <t>OR005</t>
  </si>
  <si>
    <t>OR007</t>
  </si>
  <si>
    <t>OR008</t>
  </si>
  <si>
    <t>OR009</t>
  </si>
  <si>
    <t>OR010</t>
  </si>
  <si>
    <t>OR011</t>
  </si>
  <si>
    <t>OR012</t>
  </si>
  <si>
    <t>OR015</t>
  </si>
  <si>
    <t>OR017</t>
  </si>
  <si>
    <t>OR018</t>
  </si>
  <si>
    <t>OR019</t>
  </si>
  <si>
    <t>OR021</t>
  </si>
  <si>
    <t>OR022</t>
  </si>
  <si>
    <t>OR023</t>
  </si>
  <si>
    <t>OR024</t>
  </si>
  <si>
    <t>OR025</t>
  </si>
  <si>
    <t>OR026</t>
  </si>
  <si>
    <t>OR027</t>
  </si>
  <si>
    <t>OR029</t>
  </si>
  <si>
    <t>OR030</t>
  </si>
  <si>
    <t>OR031</t>
  </si>
  <si>
    <t>OR032</t>
  </si>
  <si>
    <t>OR033</t>
  </si>
  <si>
    <t>OR034</t>
  </si>
  <si>
    <t>OR037</t>
  </si>
  <si>
    <t>OR038</t>
  </si>
  <si>
    <t>OR039</t>
  </si>
  <si>
    <t>OR040</t>
  </si>
  <si>
    <t>OR041</t>
  </si>
  <si>
    <t>OR042</t>
  </si>
  <si>
    <t>OR043</t>
  </si>
  <si>
    <t>OR044</t>
  </si>
  <si>
    <t>OR045</t>
  </si>
  <si>
    <t>OR046</t>
  </si>
  <si>
    <t>OR048</t>
  </si>
  <si>
    <t>OR050</t>
  </si>
  <si>
    <t>OR052</t>
  </si>
  <si>
    <t>OR053</t>
  </si>
  <si>
    <t>OR054</t>
  </si>
  <si>
    <t>OR055</t>
  </si>
  <si>
    <t>OR056</t>
  </si>
  <si>
    <t>OR058</t>
  </si>
  <si>
    <t>OR059</t>
  </si>
  <si>
    <t>OR061</t>
  </si>
  <si>
    <t>OR062</t>
  </si>
  <si>
    <t>OR063</t>
  </si>
  <si>
    <t>OR064</t>
  </si>
  <si>
    <t>OR065</t>
  </si>
  <si>
    <t>OR066</t>
  </si>
  <si>
    <t>OR067</t>
  </si>
  <si>
    <t>OR068</t>
  </si>
  <si>
    <t>OR069</t>
  </si>
  <si>
    <t>OR070</t>
  </si>
  <si>
    <t>OR072</t>
  </si>
  <si>
    <t>OR073</t>
  </si>
  <si>
    <t>OR074</t>
  </si>
  <si>
    <t>OR075</t>
  </si>
  <si>
    <t>OR076</t>
  </si>
  <si>
    <t>OR077</t>
  </si>
  <si>
    <t>OR078</t>
  </si>
  <si>
    <t>OR079</t>
  </si>
  <si>
    <t>OR080</t>
  </si>
  <si>
    <t>OR081</t>
  </si>
  <si>
    <t>OR082</t>
  </si>
  <si>
    <t>OR083</t>
  </si>
  <si>
    <t>OR087</t>
  </si>
  <si>
    <t>OR088</t>
  </si>
  <si>
    <t>OR089</t>
  </si>
  <si>
    <t>OR090</t>
  </si>
  <si>
    <t>OR091</t>
  </si>
  <si>
    <t>OR092</t>
  </si>
  <si>
    <t>OR093</t>
  </si>
  <si>
    <t>OR094</t>
  </si>
  <si>
    <t>OR095</t>
  </si>
  <si>
    <t>OR096</t>
  </si>
  <si>
    <t>OR097</t>
  </si>
  <si>
    <t>OR098</t>
  </si>
  <si>
    <t>OR099</t>
  </si>
  <si>
    <t>PI001</t>
  </si>
  <si>
    <t>PI002</t>
  </si>
  <si>
    <t>PI006</t>
  </si>
  <si>
    <t>PI007</t>
  </si>
  <si>
    <t>PI008</t>
  </si>
  <si>
    <t>PI009</t>
  </si>
  <si>
    <t>PI010</t>
  </si>
  <si>
    <t>PI011</t>
  </si>
  <si>
    <t>PI012</t>
  </si>
  <si>
    <t>PI013</t>
  </si>
  <si>
    <t>PI014</t>
  </si>
  <si>
    <t>PI016</t>
  </si>
  <si>
    <t>PI017</t>
  </si>
  <si>
    <t>PI018</t>
  </si>
  <si>
    <t>PI019</t>
  </si>
  <si>
    <t>PI020</t>
  </si>
  <si>
    <t>PI021</t>
  </si>
  <si>
    <t>PI023</t>
  </si>
  <si>
    <t>PI024</t>
  </si>
  <si>
    <t>PI026</t>
  </si>
  <si>
    <t>PI027</t>
  </si>
  <si>
    <t>PI028</t>
  </si>
  <si>
    <t>PI029</t>
  </si>
  <si>
    <t>PI030</t>
  </si>
  <si>
    <t>PI031</t>
  </si>
  <si>
    <t>PI032</t>
  </si>
  <si>
    <t>PI034</t>
  </si>
  <si>
    <t>PI035</t>
  </si>
  <si>
    <t>PI036</t>
  </si>
  <si>
    <t>PI037</t>
  </si>
  <si>
    <t>PI038</t>
  </si>
  <si>
    <t>PI039</t>
  </si>
  <si>
    <t>PI040</t>
  </si>
  <si>
    <t>PI041</t>
  </si>
  <si>
    <t>PI043</t>
  </si>
  <si>
    <t>PI044</t>
  </si>
  <si>
    <t>PI045</t>
  </si>
  <si>
    <t>PI046</t>
  </si>
  <si>
    <t>PI047</t>
  </si>
  <si>
    <t>PI048</t>
  </si>
  <si>
    <t>PI050</t>
  </si>
  <si>
    <t>PI051</t>
  </si>
  <si>
    <t>PI052</t>
  </si>
  <si>
    <t>PI053</t>
  </si>
  <si>
    <t>PI054</t>
  </si>
  <si>
    <t>PI055</t>
  </si>
  <si>
    <t>PI058</t>
  </si>
  <si>
    <t>PI059</t>
  </si>
  <si>
    <t>PI060</t>
  </si>
  <si>
    <t>PI061</t>
  </si>
  <si>
    <t>PI062</t>
  </si>
  <si>
    <t>PI063</t>
  </si>
  <si>
    <t>PI064</t>
  </si>
  <si>
    <t>PI065</t>
  </si>
  <si>
    <t>PI066</t>
  </si>
  <si>
    <t>PI067</t>
  </si>
  <si>
    <t>PI068</t>
  </si>
  <si>
    <t>PI070</t>
  </si>
  <si>
    <t>PI075</t>
  </si>
  <si>
    <t>PI076</t>
  </si>
  <si>
    <t>PI078</t>
  </si>
  <si>
    <t>PI081</t>
  </si>
  <si>
    <t>PI082</t>
  </si>
  <si>
    <t>PI083</t>
  </si>
  <si>
    <t>PI084</t>
  </si>
  <si>
    <t>PI085</t>
  </si>
  <si>
    <t>PI086</t>
  </si>
  <si>
    <t>PI087</t>
  </si>
  <si>
    <t>PI088</t>
  </si>
  <si>
    <t>PI089</t>
  </si>
  <si>
    <t>PI090</t>
  </si>
  <si>
    <t>PI091</t>
  </si>
  <si>
    <t>PI092</t>
  </si>
  <si>
    <t>PI093</t>
  </si>
  <si>
    <t>PI094</t>
  </si>
  <si>
    <t>Diferença</t>
  </si>
  <si>
    <t>Situação</t>
  </si>
  <si>
    <t>NOVO</t>
  </si>
  <si>
    <t>QUITOU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</si>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</sst>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5FFFA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9197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2" fillId="2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44" fontId="4" fillId="0" borderId="1" xfId="0" applyNumberFormat="1" applyFont="1" applyBorder="1"/>
    <xf numFmtId="43" fontId="0" fillId="0" borderId="0" xfId="2" applyFont="1"/>
    <xf numFmtId="43" fontId="2" fillId="0" borderId="0" xfId="2" applyFont="1" applyAlignment="1">
      <alignment horizontal="center"/>
    </xf>
    <xf numFmtId="43" fontId="0" fillId="0" borderId="0" xfId="2" applyFont="1" applyAlignment="1">
      <alignment horizontal="center"/>
    </xf>
    <xf numFmtId="9" fontId="0" fillId="0" borderId="0" xfId="3" applyFont="1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 inden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17" fontId="0" fillId="0" borderId="0" xfId="0" applyNumberFormat="1"/>
    <xf numFmtId="44" fontId="2" fillId="2" borderId="1" xfId="1" applyFont="1" applyFill="1" applyBorder="1"/>
    <xf numFmtId="44" fontId="0" fillId="0" borderId="1" xfId="0" applyNumberFormat="1" applyBorder="1"/>
    <xf numFmtId="44" fontId="5" fillId="10" borderId="1" xfId="1" applyFont="1" applyFill="1" applyBorder="1" applyAlignment="1">
      <alignment horizontal="center" vertical="center" wrapText="1"/>
    </xf>
    <xf numFmtId="17" fontId="5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4" fontId="2" fillId="4" borderId="1" xfId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150</xdr:row>
      <xdr:rowOff>0</xdr:rowOff>
    </xdr:from>
    <xdr:to>
      <xdr:col>8</xdr:col>
      <xdr:colOff>190500</xdr:colOff>
      <xdr:row>152</xdr:row>
      <xdr:rowOff>85725</xdr:rowOff>
    </xdr:to>
    <xdr:sp macro="" textlink="">
      <xdr:nvSpPr>
        <xdr:cNvPr id="2" name="AutoShape 1" descr="https://1portodos.com.br/ResidencialVillage/images/proibido-preto.svg">
          <a:extLst>
            <a:ext uri="{FF2B5EF4-FFF2-40B4-BE49-F238E27FC236}">
              <a16:creationId xmlns:a16="http://schemas.microsoft.com/office/drawing/2014/main" id="{E5BEF772-0C31-4A08-8ED8-6763A506AAA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478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110</xdr:row>
      <xdr:rowOff>9525</xdr:rowOff>
    </xdr:from>
    <xdr:to>
      <xdr:col>8</xdr:col>
      <xdr:colOff>190500</xdr:colOff>
      <xdr:row>113</xdr:row>
      <xdr:rowOff>171450</xdr:rowOff>
    </xdr:to>
    <xdr:sp macro="" textlink="">
      <xdr:nvSpPr>
        <xdr:cNvPr id="3" name="AutoShape 2" descr="https://1portodos.com.br/ResidencialVillage/images/proibido-preto.svg">
          <a:extLst>
            <a:ext uri="{FF2B5EF4-FFF2-40B4-BE49-F238E27FC236}">
              <a16:creationId xmlns:a16="http://schemas.microsoft.com/office/drawing/2014/main" id="{84F06001-BC7C-451A-A77D-B8154AEBA0C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0576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153</xdr:row>
      <xdr:rowOff>19050</xdr:rowOff>
    </xdr:from>
    <xdr:to>
      <xdr:col>8</xdr:col>
      <xdr:colOff>190500</xdr:colOff>
      <xdr:row>155</xdr:row>
      <xdr:rowOff>95250</xdr:rowOff>
    </xdr:to>
    <xdr:sp macro="" textlink="">
      <xdr:nvSpPr>
        <xdr:cNvPr id="4" name="AutoShape 3" descr="https://1portodos.com.br/ResidencialVillage/images/proibido-preto.svg">
          <a:extLst>
            <a:ext uri="{FF2B5EF4-FFF2-40B4-BE49-F238E27FC236}">
              <a16:creationId xmlns:a16="http://schemas.microsoft.com/office/drawing/2014/main" id="{AC6C9D42-9B1F-4900-B365-4FDFB6CEFE5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60686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56</xdr:row>
      <xdr:rowOff>28575</xdr:rowOff>
    </xdr:from>
    <xdr:to>
      <xdr:col>8</xdr:col>
      <xdr:colOff>190500</xdr:colOff>
      <xdr:row>58</xdr:row>
      <xdr:rowOff>95250</xdr:rowOff>
    </xdr:to>
    <xdr:sp macro="" textlink="">
      <xdr:nvSpPr>
        <xdr:cNvPr id="5" name="AutoShape 4" descr="https://1portodos.com.br/ResidencialVillage/images/proibido-preto.svg">
          <a:extLst>
            <a:ext uri="{FF2B5EF4-FFF2-40B4-BE49-F238E27FC236}">
              <a16:creationId xmlns:a16="http://schemas.microsoft.com/office/drawing/2014/main" id="{51622703-F054-4506-9D0D-AA2B4CEE155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4173200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63</xdr:row>
      <xdr:rowOff>38100</xdr:rowOff>
    </xdr:from>
    <xdr:to>
      <xdr:col>8</xdr:col>
      <xdr:colOff>190500</xdr:colOff>
      <xdr:row>65</xdr:row>
      <xdr:rowOff>95250</xdr:rowOff>
    </xdr:to>
    <xdr:sp macro="" textlink="">
      <xdr:nvSpPr>
        <xdr:cNvPr id="6" name="AutoShape 5" descr="https://1portodos.com.br/ResidencialVillage/images/proibido-preto.svg">
          <a:extLst>
            <a:ext uri="{FF2B5EF4-FFF2-40B4-BE49-F238E27FC236}">
              <a16:creationId xmlns:a16="http://schemas.microsoft.com/office/drawing/2014/main" id="{CAD05871-C07A-4865-9472-262BBBC5010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1352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109</xdr:row>
      <xdr:rowOff>47625</xdr:rowOff>
    </xdr:from>
    <xdr:to>
      <xdr:col>8</xdr:col>
      <xdr:colOff>190500</xdr:colOff>
      <xdr:row>112</xdr:row>
      <xdr:rowOff>171450</xdr:rowOff>
    </xdr:to>
    <xdr:sp macro="" textlink="">
      <xdr:nvSpPr>
        <xdr:cNvPr id="7" name="AutoShape 6" descr="https://1portodos.com.br/ResidencialVillage/images/proibido-preto.svg">
          <a:extLst>
            <a:ext uri="{FF2B5EF4-FFF2-40B4-BE49-F238E27FC236}">
              <a16:creationId xmlns:a16="http://schemas.microsoft.com/office/drawing/2014/main" id="{029F7DE8-EB6E-4F94-84EE-C19A011A22A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905250"/>
          <a:ext cx="1905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155</xdr:row>
      <xdr:rowOff>57150</xdr:rowOff>
    </xdr:from>
    <xdr:to>
      <xdr:col>8</xdr:col>
      <xdr:colOff>190500</xdr:colOff>
      <xdr:row>156</xdr:row>
      <xdr:rowOff>152400</xdr:rowOff>
    </xdr:to>
    <xdr:sp macro="" textlink="">
      <xdr:nvSpPr>
        <xdr:cNvPr id="8" name="AutoShape 7" descr="https://1portodos.com.br/ResidencialVillage/images/proibido-preto.svg">
          <a:extLst>
            <a:ext uri="{FF2B5EF4-FFF2-40B4-BE49-F238E27FC236}">
              <a16:creationId xmlns:a16="http://schemas.microsoft.com/office/drawing/2014/main" id="{1AEF5D5C-DDE0-4F91-B4B7-0581C2A0666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6487775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137</xdr:row>
      <xdr:rowOff>66675</xdr:rowOff>
    </xdr:from>
    <xdr:to>
      <xdr:col>8</xdr:col>
      <xdr:colOff>190500</xdr:colOff>
      <xdr:row>138</xdr:row>
      <xdr:rowOff>152400</xdr:rowOff>
    </xdr:to>
    <xdr:sp macro="" textlink="">
      <xdr:nvSpPr>
        <xdr:cNvPr id="9" name="AutoShape 8" descr="https://1portodos.com.br/ResidencialVillage/images/proibido-preto.svg">
          <a:extLst>
            <a:ext uri="{FF2B5EF4-FFF2-40B4-BE49-F238E27FC236}">
              <a16:creationId xmlns:a16="http://schemas.microsoft.com/office/drawing/2014/main" id="{2DC4262C-DD54-4FC8-81AA-F2809E5F87C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46810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80</xdr:row>
      <xdr:rowOff>76200</xdr:rowOff>
    </xdr:from>
    <xdr:to>
      <xdr:col>8</xdr:col>
      <xdr:colOff>190500</xdr:colOff>
      <xdr:row>82</xdr:row>
      <xdr:rowOff>95250</xdr:rowOff>
    </xdr:to>
    <xdr:sp macro="" textlink="">
      <xdr:nvSpPr>
        <xdr:cNvPr id="10" name="AutoShape 9" descr="https://1portodos.com.br/ResidencialVillage/images/proibido-preto.svg">
          <a:extLst>
            <a:ext uri="{FF2B5EF4-FFF2-40B4-BE49-F238E27FC236}">
              <a16:creationId xmlns:a16="http://schemas.microsoft.com/office/drawing/2014/main" id="{A1A0EF24-7004-4BE3-AF81-D763120EC51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677025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112</xdr:row>
      <xdr:rowOff>85725</xdr:rowOff>
    </xdr:from>
    <xdr:to>
      <xdr:col>8</xdr:col>
      <xdr:colOff>190500</xdr:colOff>
      <xdr:row>115</xdr:row>
      <xdr:rowOff>171450</xdr:rowOff>
    </xdr:to>
    <xdr:sp macro="" textlink="">
      <xdr:nvSpPr>
        <xdr:cNvPr id="11" name="AutoShape 10" descr="https://1portodos.com.br/ResidencialVillage/images/proibido-preto.svg">
          <a:extLst>
            <a:ext uri="{FF2B5EF4-FFF2-40B4-BE49-F238E27FC236}">
              <a16:creationId xmlns:a16="http://schemas.microsoft.com/office/drawing/2014/main" id="{820C94A4-7C0F-46B9-83ED-0F326D92793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5148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116</xdr:row>
      <xdr:rowOff>95250</xdr:rowOff>
    </xdr:from>
    <xdr:to>
      <xdr:col>8</xdr:col>
      <xdr:colOff>190500</xdr:colOff>
      <xdr:row>118</xdr:row>
      <xdr:rowOff>95250</xdr:rowOff>
    </xdr:to>
    <xdr:sp macro="" textlink="">
      <xdr:nvSpPr>
        <xdr:cNvPr id="12" name="AutoShape 11" descr="https://1portodos.com.br/ResidencialVillage/images/proibido-preto.svg">
          <a:extLst>
            <a:ext uri="{FF2B5EF4-FFF2-40B4-BE49-F238E27FC236}">
              <a16:creationId xmlns:a16="http://schemas.microsoft.com/office/drawing/2014/main" id="{C3B30F7F-0366-4F46-9AE9-6E55EBCD249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610225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115</xdr:row>
      <xdr:rowOff>104775</xdr:rowOff>
    </xdr:from>
    <xdr:to>
      <xdr:col>8</xdr:col>
      <xdr:colOff>190500</xdr:colOff>
      <xdr:row>118</xdr:row>
      <xdr:rowOff>171450</xdr:rowOff>
    </xdr:to>
    <xdr:sp macro="" textlink="">
      <xdr:nvSpPr>
        <xdr:cNvPr id="13" name="AutoShape 12" descr="https://1portodos.com.br/ResidencialVillage/images/proibido-preto.svg">
          <a:extLst>
            <a:ext uri="{FF2B5EF4-FFF2-40B4-BE49-F238E27FC236}">
              <a16:creationId xmlns:a16="http://schemas.microsoft.com/office/drawing/2014/main" id="{DA056212-59DF-42C4-916C-CB3216545E6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429250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178</xdr:row>
      <xdr:rowOff>114300</xdr:rowOff>
    </xdr:from>
    <xdr:to>
      <xdr:col>8</xdr:col>
      <xdr:colOff>190500</xdr:colOff>
      <xdr:row>181</xdr:row>
      <xdr:rowOff>9525</xdr:rowOff>
    </xdr:to>
    <xdr:sp macro="" textlink="">
      <xdr:nvSpPr>
        <xdr:cNvPr id="14" name="AutoShape 13" descr="https://1portodos.com.br/ResidencialVillage/images/proibido-preto.svg">
          <a:extLst>
            <a:ext uri="{FF2B5EF4-FFF2-40B4-BE49-F238E27FC236}">
              <a16:creationId xmlns:a16="http://schemas.microsoft.com/office/drawing/2014/main" id="{E99B1D5C-1C2B-4363-A744-DCC24E94A09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1707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173</xdr:row>
      <xdr:rowOff>123825</xdr:rowOff>
    </xdr:from>
    <xdr:to>
      <xdr:col>8</xdr:col>
      <xdr:colOff>190500</xdr:colOff>
      <xdr:row>176</xdr:row>
      <xdr:rowOff>19050</xdr:rowOff>
    </xdr:to>
    <xdr:sp macro="" textlink="">
      <xdr:nvSpPr>
        <xdr:cNvPr id="15" name="AutoShape 14" descr="https://1portodos.com.br/ResidencialVillage/images/proibido-preto.svg">
          <a:extLst>
            <a:ext uri="{FF2B5EF4-FFF2-40B4-BE49-F238E27FC236}">
              <a16:creationId xmlns:a16="http://schemas.microsoft.com/office/drawing/2014/main" id="{B5A986F1-4956-4BBB-A170-841CE3CC591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07645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144</xdr:row>
      <xdr:rowOff>133350</xdr:rowOff>
    </xdr:from>
    <xdr:to>
      <xdr:col>8</xdr:col>
      <xdr:colOff>190500</xdr:colOff>
      <xdr:row>146</xdr:row>
      <xdr:rowOff>95250</xdr:rowOff>
    </xdr:to>
    <xdr:sp macro="" textlink="">
      <xdr:nvSpPr>
        <xdr:cNvPr id="16" name="AutoShape 15" descr="https://1portodos.com.br/ResidencialVillage/images/proibido-preto.svg">
          <a:extLst>
            <a:ext uri="{FF2B5EF4-FFF2-40B4-BE49-F238E27FC236}">
              <a16:creationId xmlns:a16="http://schemas.microsoft.com/office/drawing/2014/main" id="{F8E03AEB-486E-4ECB-95CB-41FE84CAD5B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3515975"/>
          <a:ext cx="1905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170</xdr:row>
      <xdr:rowOff>142875</xdr:rowOff>
    </xdr:from>
    <xdr:to>
      <xdr:col>8</xdr:col>
      <xdr:colOff>190500</xdr:colOff>
      <xdr:row>172</xdr:row>
      <xdr:rowOff>95250</xdr:rowOff>
    </xdr:to>
    <xdr:sp macro="" textlink="">
      <xdr:nvSpPr>
        <xdr:cNvPr id="17" name="AutoShape 16" descr="https://1portodos.com.br/ResidencialVillage/images/proibido-preto.svg">
          <a:extLst>
            <a:ext uri="{FF2B5EF4-FFF2-40B4-BE49-F238E27FC236}">
              <a16:creationId xmlns:a16="http://schemas.microsoft.com/office/drawing/2014/main" id="{7603C91F-CA1E-49AC-833E-1E122EDC97D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0021550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165</xdr:row>
      <xdr:rowOff>152400</xdr:rowOff>
    </xdr:from>
    <xdr:to>
      <xdr:col>8</xdr:col>
      <xdr:colOff>190500</xdr:colOff>
      <xdr:row>167</xdr:row>
      <xdr:rowOff>238125</xdr:rowOff>
    </xdr:to>
    <xdr:sp macro="" textlink="">
      <xdr:nvSpPr>
        <xdr:cNvPr id="18" name="AutoShape 17" descr="https://1portodos.com.br/ResidencialVillage/images/proibido-preto.svg">
          <a:extLst>
            <a:ext uri="{FF2B5EF4-FFF2-40B4-BE49-F238E27FC236}">
              <a16:creationId xmlns:a16="http://schemas.microsoft.com/office/drawing/2014/main" id="{4B051E8F-6B67-465B-8886-C1D598F8164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86213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111</xdr:row>
      <xdr:rowOff>161925</xdr:rowOff>
    </xdr:from>
    <xdr:to>
      <xdr:col>8</xdr:col>
      <xdr:colOff>190500</xdr:colOff>
      <xdr:row>115</xdr:row>
      <xdr:rowOff>0</xdr:rowOff>
    </xdr:to>
    <xdr:sp macro="" textlink="">
      <xdr:nvSpPr>
        <xdr:cNvPr id="19" name="AutoShape 18" descr="https://1portodos.com.br/ResidencialVillage/images/proibido-preto.svg">
          <a:extLst>
            <a:ext uri="{FF2B5EF4-FFF2-40B4-BE49-F238E27FC236}">
              <a16:creationId xmlns:a16="http://schemas.microsoft.com/office/drawing/2014/main" id="{E944F913-2B7B-4127-A964-54605A3861F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400550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123</xdr:row>
      <xdr:rowOff>171450</xdr:rowOff>
    </xdr:from>
    <xdr:to>
      <xdr:col>8</xdr:col>
      <xdr:colOff>190500</xdr:colOff>
      <xdr:row>127</xdr:row>
      <xdr:rowOff>142875</xdr:rowOff>
    </xdr:to>
    <xdr:sp macro="" textlink="">
      <xdr:nvSpPr>
        <xdr:cNvPr id="20" name="AutoShape 19" descr="https://1portodos.com.br/ResidencialVillage/images/proibido-preto.svg">
          <a:extLst>
            <a:ext uri="{FF2B5EF4-FFF2-40B4-BE49-F238E27FC236}">
              <a16:creationId xmlns:a16="http://schemas.microsoft.com/office/drawing/2014/main" id="{FD9F6DEE-45ED-4E97-AED2-C9BB845A239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800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106</xdr:row>
      <xdr:rowOff>180975</xdr:rowOff>
    </xdr:from>
    <xdr:to>
      <xdr:col>8</xdr:col>
      <xdr:colOff>190500</xdr:colOff>
      <xdr:row>108</xdr:row>
      <xdr:rowOff>266700</xdr:rowOff>
    </xdr:to>
    <xdr:sp macro="" textlink="">
      <xdr:nvSpPr>
        <xdr:cNvPr id="21" name="AutoShape 20" descr="https://1portodos.com.br/ResidencialVillage/images/proibido-preto.svg">
          <a:extLst>
            <a:ext uri="{FF2B5EF4-FFF2-40B4-BE49-F238E27FC236}">
              <a16:creationId xmlns:a16="http://schemas.microsoft.com/office/drawing/2014/main" id="{D4876BDD-8C65-4EE3-B726-12FDF62BE64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143250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125</xdr:row>
      <xdr:rowOff>190500</xdr:rowOff>
    </xdr:from>
    <xdr:to>
      <xdr:col>8</xdr:col>
      <xdr:colOff>190500</xdr:colOff>
      <xdr:row>129</xdr:row>
      <xdr:rowOff>161925</xdr:rowOff>
    </xdr:to>
    <xdr:sp macro="" textlink="">
      <xdr:nvSpPr>
        <xdr:cNvPr id="22" name="AutoShape 21" descr="https://1portodos.com.br/ResidencialVillage/images/proibido-preto.svg">
          <a:extLst>
            <a:ext uri="{FF2B5EF4-FFF2-40B4-BE49-F238E27FC236}">
              <a16:creationId xmlns:a16="http://schemas.microsoft.com/office/drawing/2014/main" id="{7BAC78DF-6BCA-4384-B594-0A7A7177F99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334375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88</xdr:row>
      <xdr:rowOff>200025</xdr:rowOff>
    </xdr:from>
    <xdr:to>
      <xdr:col>8</xdr:col>
      <xdr:colOff>190500</xdr:colOff>
      <xdr:row>90</xdr:row>
      <xdr:rowOff>133350</xdr:rowOff>
    </xdr:to>
    <xdr:sp macro="" textlink="">
      <xdr:nvSpPr>
        <xdr:cNvPr id="23" name="AutoShape 22" descr="https://1portodos.com.br/ResidencialVillage/images/proibido-preto.svg">
          <a:extLst>
            <a:ext uri="{FF2B5EF4-FFF2-40B4-BE49-F238E27FC236}">
              <a16:creationId xmlns:a16="http://schemas.microsoft.com/office/drawing/2014/main" id="{4862E692-0FA7-47B2-9044-DC14EB82F53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3954125"/>
          <a:ext cx="19050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134</xdr:row>
      <xdr:rowOff>209550</xdr:rowOff>
    </xdr:from>
    <xdr:to>
      <xdr:col>8</xdr:col>
      <xdr:colOff>190500</xdr:colOff>
      <xdr:row>136</xdr:row>
      <xdr:rowOff>142875</xdr:rowOff>
    </xdr:to>
    <xdr:sp macro="" textlink="">
      <xdr:nvSpPr>
        <xdr:cNvPr id="24" name="AutoShape 23" descr="https://1portodos.com.br/ResidencialVillage/images/proibido-preto.svg">
          <a:extLst>
            <a:ext uri="{FF2B5EF4-FFF2-40B4-BE49-F238E27FC236}">
              <a16:creationId xmlns:a16="http://schemas.microsoft.com/office/drawing/2014/main" id="{5A540884-42D5-4FF6-A131-F5514E8F7BA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020425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130</xdr:row>
      <xdr:rowOff>219075</xdr:rowOff>
    </xdr:from>
    <xdr:to>
      <xdr:col>8</xdr:col>
      <xdr:colOff>190500</xdr:colOff>
      <xdr:row>133</xdr:row>
      <xdr:rowOff>85725</xdr:rowOff>
    </xdr:to>
    <xdr:sp macro="" textlink="">
      <xdr:nvSpPr>
        <xdr:cNvPr id="25" name="AutoShape 24" descr="https://1portodos.com.br/ResidencialVillage/images/proibido-preto.svg">
          <a:extLst>
            <a:ext uri="{FF2B5EF4-FFF2-40B4-BE49-F238E27FC236}">
              <a16:creationId xmlns:a16="http://schemas.microsoft.com/office/drawing/2014/main" id="{077A12A2-A253-4F82-8BAB-B2BCDE5C67A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801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154</xdr:row>
      <xdr:rowOff>228600</xdr:rowOff>
    </xdr:from>
    <xdr:to>
      <xdr:col>8</xdr:col>
      <xdr:colOff>190500</xdr:colOff>
      <xdr:row>156</xdr:row>
      <xdr:rowOff>142875</xdr:rowOff>
    </xdr:to>
    <xdr:sp macro="" textlink="">
      <xdr:nvSpPr>
        <xdr:cNvPr id="26" name="AutoShape 25" descr="https://1portodos.com.br/ResidencialVillage/images/proibido-preto.svg">
          <a:extLst>
            <a:ext uri="{FF2B5EF4-FFF2-40B4-BE49-F238E27FC236}">
              <a16:creationId xmlns:a16="http://schemas.microsoft.com/office/drawing/2014/main" id="{B72646D2-F8C7-4692-A5B0-181F1494E9C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6430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238125</xdr:rowOff>
    </xdr:from>
    <xdr:to>
      <xdr:col>8</xdr:col>
      <xdr:colOff>190500</xdr:colOff>
      <xdr:row>34</xdr:row>
      <xdr:rowOff>85725</xdr:rowOff>
    </xdr:to>
    <xdr:sp macro="" textlink="">
      <xdr:nvSpPr>
        <xdr:cNvPr id="27" name="AutoShape 26" descr="https://1portodos.com.br/ResidencialVillage/images/proibido-preto.svg">
          <a:extLst>
            <a:ext uri="{FF2B5EF4-FFF2-40B4-BE49-F238E27FC236}">
              <a16:creationId xmlns:a16="http://schemas.microsoft.com/office/drawing/2014/main" id="{1AE7BE2B-DD6D-46DF-B7E1-BB07B028E37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8849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247650</xdr:rowOff>
    </xdr:from>
    <xdr:to>
      <xdr:col>8</xdr:col>
      <xdr:colOff>190500</xdr:colOff>
      <xdr:row>43</xdr:row>
      <xdr:rowOff>180975</xdr:rowOff>
    </xdr:to>
    <xdr:sp macro="" textlink="">
      <xdr:nvSpPr>
        <xdr:cNvPr id="28" name="AutoShape 27" descr="https://1portodos.com.br/ResidencialVillage/images/proibido-preto.svg">
          <a:extLst>
            <a:ext uri="{FF2B5EF4-FFF2-40B4-BE49-F238E27FC236}">
              <a16:creationId xmlns:a16="http://schemas.microsoft.com/office/drawing/2014/main" id="{C840E998-D28F-4102-B2B2-547BBCEB855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319212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167</xdr:row>
      <xdr:rowOff>257175</xdr:rowOff>
    </xdr:from>
    <xdr:to>
      <xdr:col>8</xdr:col>
      <xdr:colOff>190500</xdr:colOff>
      <xdr:row>169</xdr:row>
      <xdr:rowOff>285750</xdr:rowOff>
    </xdr:to>
    <xdr:sp macro="" textlink="">
      <xdr:nvSpPr>
        <xdr:cNvPr id="29" name="AutoShape 28" descr="https://1portodos.com.br/ResidencialVillage/images/proibido-preto.svg">
          <a:extLst>
            <a:ext uri="{FF2B5EF4-FFF2-40B4-BE49-F238E27FC236}">
              <a16:creationId xmlns:a16="http://schemas.microsoft.com/office/drawing/2014/main" id="{60909269-616E-4D13-A989-FA19BC6B19F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9297650"/>
          <a:ext cx="190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149</xdr:row>
      <xdr:rowOff>266700</xdr:rowOff>
    </xdr:from>
    <xdr:to>
      <xdr:col>8</xdr:col>
      <xdr:colOff>190500</xdr:colOff>
      <xdr:row>152</xdr:row>
      <xdr:rowOff>9525</xdr:rowOff>
    </xdr:to>
    <xdr:sp macro="" textlink="">
      <xdr:nvSpPr>
        <xdr:cNvPr id="30" name="AutoShape 29" descr="https://1portodos.com.br/ResidencialVillage/images/proibido-preto.svg">
          <a:extLst>
            <a:ext uri="{FF2B5EF4-FFF2-40B4-BE49-F238E27FC236}">
              <a16:creationId xmlns:a16="http://schemas.microsoft.com/office/drawing/2014/main" id="{5DA248E1-9178-4881-861E-2CAB14E9992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490662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166</xdr:row>
      <xdr:rowOff>276225</xdr:rowOff>
    </xdr:from>
    <xdr:to>
      <xdr:col>8</xdr:col>
      <xdr:colOff>190500</xdr:colOff>
      <xdr:row>168</xdr:row>
      <xdr:rowOff>76200</xdr:rowOff>
    </xdr:to>
    <xdr:sp macro="" textlink="">
      <xdr:nvSpPr>
        <xdr:cNvPr id="31" name="AutoShape 30" descr="https://1portodos.com.br/ResidencialVillage/images/proibido-preto.svg">
          <a:extLst>
            <a:ext uri="{FF2B5EF4-FFF2-40B4-BE49-F238E27FC236}">
              <a16:creationId xmlns:a16="http://schemas.microsoft.com/office/drawing/2014/main" id="{46D0AD38-7062-467A-A1AC-5B29DFAF959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9040475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285750</xdr:rowOff>
    </xdr:from>
    <xdr:to>
      <xdr:col>8</xdr:col>
      <xdr:colOff>190500</xdr:colOff>
      <xdr:row>25</xdr:row>
      <xdr:rowOff>85725</xdr:rowOff>
    </xdr:to>
    <xdr:sp macro="" textlink="">
      <xdr:nvSpPr>
        <xdr:cNvPr id="32" name="AutoShape 31" descr="https://1portodos.com.br/ResidencialVillage/images/proibido-preto.svg">
          <a:extLst>
            <a:ext uri="{FF2B5EF4-FFF2-40B4-BE49-F238E27FC236}">
              <a16:creationId xmlns:a16="http://schemas.microsoft.com/office/drawing/2014/main" id="{E0624EE0-EF29-43AE-B5BF-A3D292C3467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8299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136</xdr:row>
      <xdr:rowOff>295275</xdr:rowOff>
    </xdr:from>
    <xdr:to>
      <xdr:col>8</xdr:col>
      <xdr:colOff>190500</xdr:colOff>
      <xdr:row>138</xdr:row>
      <xdr:rowOff>95250</xdr:rowOff>
    </xdr:to>
    <xdr:sp macro="" textlink="">
      <xdr:nvSpPr>
        <xdr:cNvPr id="33" name="AutoShape 32" descr="https://1portodos.com.br/ResidencialVillage/images/proibido-preto.svg">
          <a:extLst>
            <a:ext uri="{FF2B5EF4-FFF2-40B4-BE49-F238E27FC236}">
              <a16:creationId xmlns:a16="http://schemas.microsoft.com/office/drawing/2014/main" id="{A883D4B1-C1F3-42D7-AE61-A1BE181C3F4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401425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158</xdr:row>
      <xdr:rowOff>304800</xdr:rowOff>
    </xdr:from>
    <xdr:to>
      <xdr:col>8</xdr:col>
      <xdr:colOff>190500</xdr:colOff>
      <xdr:row>161</xdr:row>
      <xdr:rowOff>85725</xdr:rowOff>
    </xdr:to>
    <xdr:sp macro="" textlink="">
      <xdr:nvSpPr>
        <xdr:cNvPr id="34" name="AutoShape 33" descr="https://1portodos.com.br/ResidencialVillage/images/proibido-preto.svg">
          <a:extLst>
            <a:ext uri="{FF2B5EF4-FFF2-40B4-BE49-F238E27FC236}">
              <a16:creationId xmlns:a16="http://schemas.microsoft.com/office/drawing/2014/main" id="{04849E6B-8C5F-4093-B043-4DE555B3BCD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7325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105</xdr:row>
      <xdr:rowOff>314325</xdr:rowOff>
    </xdr:from>
    <xdr:to>
      <xdr:col>8</xdr:col>
      <xdr:colOff>190500</xdr:colOff>
      <xdr:row>108</xdr:row>
      <xdr:rowOff>190500</xdr:rowOff>
    </xdr:to>
    <xdr:sp macro="" textlink="">
      <xdr:nvSpPr>
        <xdr:cNvPr id="35" name="AutoShape 34" descr="https://1portodos.com.br/ResidencialVillage/images/proibido-preto.svg">
          <a:extLst>
            <a:ext uri="{FF2B5EF4-FFF2-40B4-BE49-F238E27FC236}">
              <a16:creationId xmlns:a16="http://schemas.microsoft.com/office/drawing/2014/main" id="{DC28790E-90BD-40D1-BF8B-53AE2A6BDE8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96227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157</xdr:row>
      <xdr:rowOff>323850</xdr:rowOff>
    </xdr:from>
    <xdr:to>
      <xdr:col>8</xdr:col>
      <xdr:colOff>190500</xdr:colOff>
      <xdr:row>160</xdr:row>
      <xdr:rowOff>85725</xdr:rowOff>
    </xdr:to>
    <xdr:sp macro="" textlink="">
      <xdr:nvSpPr>
        <xdr:cNvPr id="36" name="AutoShape 35" descr="https://1portodos.com.br/ResidencialVillage/images/proibido-preto.svg">
          <a:extLst>
            <a:ext uri="{FF2B5EF4-FFF2-40B4-BE49-F238E27FC236}">
              <a16:creationId xmlns:a16="http://schemas.microsoft.com/office/drawing/2014/main" id="{9C2C8EC2-811F-42A7-A37E-F72B66399C1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7135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103</xdr:row>
      <xdr:rowOff>333375</xdr:rowOff>
    </xdr:from>
    <xdr:to>
      <xdr:col>8</xdr:col>
      <xdr:colOff>190500</xdr:colOff>
      <xdr:row>105</xdr:row>
      <xdr:rowOff>142875</xdr:rowOff>
    </xdr:to>
    <xdr:sp macro="" textlink="">
      <xdr:nvSpPr>
        <xdr:cNvPr id="37" name="AutoShape 36" descr="https://1portodos.com.br/ResidencialVillage/images/proibido-preto.svg">
          <a:extLst>
            <a:ext uri="{FF2B5EF4-FFF2-40B4-BE49-F238E27FC236}">
              <a16:creationId xmlns:a16="http://schemas.microsoft.com/office/drawing/2014/main" id="{154CCEF9-752B-4F29-A65D-19F241D6A2B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52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119</xdr:row>
      <xdr:rowOff>342900</xdr:rowOff>
    </xdr:from>
    <xdr:to>
      <xdr:col>8</xdr:col>
      <xdr:colOff>190500</xdr:colOff>
      <xdr:row>121</xdr:row>
      <xdr:rowOff>142875</xdr:rowOff>
    </xdr:to>
    <xdr:sp macro="" textlink="">
      <xdr:nvSpPr>
        <xdr:cNvPr id="38" name="AutoShape 37" descr="https://1portodos.com.br/ResidencialVillage/images/proibido-preto.svg">
          <a:extLst>
            <a:ext uri="{FF2B5EF4-FFF2-40B4-BE49-F238E27FC236}">
              <a16:creationId xmlns:a16="http://schemas.microsoft.com/office/drawing/2014/main" id="{90D059E8-E4A9-414C-816B-4DC69A8D431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600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128</xdr:row>
      <xdr:rowOff>352425</xdr:rowOff>
    </xdr:from>
    <xdr:to>
      <xdr:col>8</xdr:col>
      <xdr:colOff>190500</xdr:colOff>
      <xdr:row>131</xdr:row>
      <xdr:rowOff>66675</xdr:rowOff>
    </xdr:to>
    <xdr:sp macro="" textlink="">
      <xdr:nvSpPr>
        <xdr:cNvPr id="39" name="AutoShape 38" descr="https://1portodos.com.br/ResidencialVillage/images/proibido-preto.svg">
          <a:extLst>
            <a:ext uri="{FF2B5EF4-FFF2-40B4-BE49-F238E27FC236}">
              <a16:creationId xmlns:a16="http://schemas.microsoft.com/office/drawing/2014/main" id="{C8AD24CA-563A-40D5-A374-04D5DD42EEC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420225"/>
          <a:ext cx="190500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171</xdr:row>
      <xdr:rowOff>361950</xdr:rowOff>
    </xdr:from>
    <xdr:to>
      <xdr:col>8</xdr:col>
      <xdr:colOff>190500</xdr:colOff>
      <xdr:row>174</xdr:row>
      <xdr:rowOff>85725</xdr:rowOff>
    </xdr:to>
    <xdr:sp macro="" textlink="">
      <xdr:nvSpPr>
        <xdr:cNvPr id="40" name="AutoShape 39" descr="https://1portodos.com.br/ResidencialVillage/images/proibido-preto.svg">
          <a:extLst>
            <a:ext uri="{FF2B5EF4-FFF2-40B4-BE49-F238E27FC236}">
              <a16:creationId xmlns:a16="http://schemas.microsoft.com/office/drawing/2014/main" id="{793417BB-668F-46C8-91F1-ACBED93DFB3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0450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59</xdr:row>
      <xdr:rowOff>371475</xdr:rowOff>
    </xdr:from>
    <xdr:to>
      <xdr:col>8</xdr:col>
      <xdr:colOff>190500</xdr:colOff>
      <xdr:row>61</xdr:row>
      <xdr:rowOff>142875</xdr:rowOff>
    </xdr:to>
    <xdr:sp macro="" textlink="">
      <xdr:nvSpPr>
        <xdr:cNvPr id="41" name="AutoShape 40" descr="https://1portodos.com.br/ResidencialVillage/images/proibido-preto.svg">
          <a:extLst>
            <a:ext uri="{FF2B5EF4-FFF2-40B4-BE49-F238E27FC236}">
              <a16:creationId xmlns:a16="http://schemas.microsoft.com/office/drawing/2014/main" id="{22C2A95B-486B-413C-9B6A-44DA8C921D8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7430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169</xdr:row>
      <xdr:rowOff>381000</xdr:rowOff>
    </xdr:from>
    <xdr:to>
      <xdr:col>8</xdr:col>
      <xdr:colOff>190500</xdr:colOff>
      <xdr:row>172</xdr:row>
      <xdr:rowOff>85725</xdr:rowOff>
    </xdr:to>
    <xdr:sp macro="" textlink="">
      <xdr:nvSpPr>
        <xdr:cNvPr id="42" name="AutoShape 41" descr="https://1portodos.com.br/ResidencialVillage/images/proibido-preto.svg">
          <a:extLst>
            <a:ext uri="{FF2B5EF4-FFF2-40B4-BE49-F238E27FC236}">
              <a16:creationId xmlns:a16="http://schemas.microsoft.com/office/drawing/2014/main" id="{3B3814C4-B883-46CA-92B7-7B1870FF95C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9878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390525</xdr:rowOff>
    </xdr:from>
    <xdr:to>
      <xdr:col>8</xdr:col>
      <xdr:colOff>190500</xdr:colOff>
      <xdr:row>18</xdr:row>
      <xdr:rowOff>276225</xdr:rowOff>
    </xdr:to>
    <xdr:sp macro="" textlink="">
      <xdr:nvSpPr>
        <xdr:cNvPr id="43" name="AutoShape 42" descr="https://1portodos.com.br/ResidencialVillage/images/proibido-preto.svg">
          <a:extLst>
            <a:ext uri="{FF2B5EF4-FFF2-40B4-BE49-F238E27FC236}">
              <a16:creationId xmlns:a16="http://schemas.microsoft.com/office/drawing/2014/main" id="{B3A3235D-3327-4D2A-86CC-4661789C711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0259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126</xdr:row>
      <xdr:rowOff>400050</xdr:rowOff>
    </xdr:from>
    <xdr:to>
      <xdr:col>8</xdr:col>
      <xdr:colOff>190500</xdr:colOff>
      <xdr:row>130</xdr:row>
      <xdr:rowOff>161925</xdr:rowOff>
    </xdr:to>
    <xdr:sp macro="" textlink="">
      <xdr:nvSpPr>
        <xdr:cNvPr id="44" name="AutoShape 43" descr="https://1portodos.com.br/ResidencialVillage/images/proibido-preto.svg">
          <a:extLst>
            <a:ext uri="{FF2B5EF4-FFF2-40B4-BE49-F238E27FC236}">
              <a16:creationId xmlns:a16="http://schemas.microsoft.com/office/drawing/2014/main" id="{00AB34C7-E0B2-4B40-A17F-C1FD0085390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5248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164</xdr:row>
      <xdr:rowOff>409575</xdr:rowOff>
    </xdr:from>
    <xdr:to>
      <xdr:col>8</xdr:col>
      <xdr:colOff>190500</xdr:colOff>
      <xdr:row>167</xdr:row>
      <xdr:rowOff>85725</xdr:rowOff>
    </xdr:to>
    <xdr:sp macro="" textlink="">
      <xdr:nvSpPr>
        <xdr:cNvPr id="45" name="AutoShape 44" descr="https://1portodos.com.br/ResidencialVillage/images/proibido-preto.svg">
          <a:extLst>
            <a:ext uri="{FF2B5EF4-FFF2-40B4-BE49-F238E27FC236}">
              <a16:creationId xmlns:a16="http://schemas.microsoft.com/office/drawing/2014/main" id="{7F046A99-1B0F-4133-A941-8E25EEB7627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8468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168</xdr:row>
      <xdr:rowOff>419100</xdr:rowOff>
    </xdr:from>
    <xdr:to>
      <xdr:col>8</xdr:col>
      <xdr:colOff>190500</xdr:colOff>
      <xdr:row>171</xdr:row>
      <xdr:rowOff>85725</xdr:rowOff>
    </xdr:to>
    <xdr:sp macro="" textlink="">
      <xdr:nvSpPr>
        <xdr:cNvPr id="46" name="AutoShape 45" descr="https://1portodos.com.br/ResidencialVillage/images/proibido-preto.svg">
          <a:extLst>
            <a:ext uri="{FF2B5EF4-FFF2-40B4-BE49-F238E27FC236}">
              <a16:creationId xmlns:a16="http://schemas.microsoft.com/office/drawing/2014/main" id="{61FF87B6-F2E3-4953-9A8C-A34B087AE5E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95548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122</xdr:row>
      <xdr:rowOff>428625</xdr:rowOff>
    </xdr:from>
    <xdr:to>
      <xdr:col>8</xdr:col>
      <xdr:colOff>190500</xdr:colOff>
      <xdr:row>126</xdr:row>
      <xdr:rowOff>161925</xdr:rowOff>
    </xdr:to>
    <xdr:sp macro="" textlink="">
      <xdr:nvSpPr>
        <xdr:cNvPr id="47" name="AutoShape 46" descr="https://1portodos.com.br/ResidencialVillage/images/proibido-preto.svg">
          <a:extLst>
            <a:ext uri="{FF2B5EF4-FFF2-40B4-BE49-F238E27FC236}">
              <a16:creationId xmlns:a16="http://schemas.microsoft.com/office/drawing/2014/main" id="{A78D5546-CF7F-4B7D-90BA-FDBF2215459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629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163</xdr:row>
      <xdr:rowOff>438150</xdr:rowOff>
    </xdr:from>
    <xdr:to>
      <xdr:col>8</xdr:col>
      <xdr:colOff>190500</xdr:colOff>
      <xdr:row>166</xdr:row>
      <xdr:rowOff>85725</xdr:rowOff>
    </xdr:to>
    <xdr:sp macro="" textlink="">
      <xdr:nvSpPr>
        <xdr:cNvPr id="48" name="AutoShape 47" descr="https://1portodos.com.br/ResidencialVillage/images/proibido-preto.svg">
          <a:extLst>
            <a:ext uri="{FF2B5EF4-FFF2-40B4-BE49-F238E27FC236}">
              <a16:creationId xmlns:a16="http://schemas.microsoft.com/office/drawing/2014/main" id="{76067ED7-117C-40B2-AF35-EF385F145B7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8278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</xdr:row>
      <xdr:rowOff>447675</xdr:rowOff>
    </xdr:from>
    <xdr:to>
      <xdr:col>8</xdr:col>
      <xdr:colOff>190500</xdr:colOff>
      <xdr:row>47</xdr:row>
      <xdr:rowOff>28575</xdr:rowOff>
    </xdr:to>
    <xdr:sp macro="" textlink="">
      <xdr:nvSpPr>
        <xdr:cNvPr id="49" name="AutoShape 48" descr="https://1portodos.com.br/ResidencialVillage/images/proibido-preto.svg">
          <a:extLst>
            <a:ext uri="{FF2B5EF4-FFF2-40B4-BE49-F238E27FC236}">
              <a16:creationId xmlns:a16="http://schemas.microsoft.com/office/drawing/2014/main" id="{49FA52C1-4267-4F4E-ABAB-C8C3C8599C9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857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104</xdr:row>
      <xdr:rowOff>457200</xdr:rowOff>
    </xdr:from>
    <xdr:to>
      <xdr:col>8</xdr:col>
      <xdr:colOff>190500</xdr:colOff>
      <xdr:row>108</xdr:row>
      <xdr:rowOff>28575</xdr:rowOff>
    </xdr:to>
    <xdr:sp macro="" textlink="">
      <xdr:nvSpPr>
        <xdr:cNvPr id="50" name="AutoShape 49" descr="https://1portodos.com.br/ResidencialVillage/images/proibido-preto.svg">
          <a:extLst>
            <a:ext uri="{FF2B5EF4-FFF2-40B4-BE49-F238E27FC236}">
              <a16:creationId xmlns:a16="http://schemas.microsoft.com/office/drawing/2014/main" id="{51CA63A3-C157-4B20-B47C-0A0476EC765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771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162</xdr:row>
      <xdr:rowOff>466725</xdr:rowOff>
    </xdr:from>
    <xdr:to>
      <xdr:col>8</xdr:col>
      <xdr:colOff>190500</xdr:colOff>
      <xdr:row>165</xdr:row>
      <xdr:rowOff>85725</xdr:rowOff>
    </xdr:to>
    <xdr:sp macro="" textlink="">
      <xdr:nvSpPr>
        <xdr:cNvPr id="51" name="AutoShape 50" descr="https://1portodos.com.br/ResidencialVillage/images/proibido-preto.svg">
          <a:extLst>
            <a:ext uri="{FF2B5EF4-FFF2-40B4-BE49-F238E27FC236}">
              <a16:creationId xmlns:a16="http://schemas.microsoft.com/office/drawing/2014/main" id="{D16377AC-1CE9-4F00-A917-DA8FE0E9B72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8087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476250</xdr:rowOff>
    </xdr:from>
    <xdr:to>
      <xdr:col>8</xdr:col>
      <xdr:colOff>190500</xdr:colOff>
      <xdr:row>10</xdr:row>
      <xdr:rowOff>28575</xdr:rowOff>
    </xdr:to>
    <xdr:sp macro="" textlink="">
      <xdr:nvSpPr>
        <xdr:cNvPr id="52" name="AutoShape 51" descr="https://1portodos.com.br/ResidencialVillage/images/proibido-preto.svg">
          <a:extLst>
            <a:ext uri="{FF2B5EF4-FFF2-40B4-BE49-F238E27FC236}">
              <a16:creationId xmlns:a16="http://schemas.microsoft.com/office/drawing/2014/main" id="{D3F5EBDE-27E3-4641-A15C-E967CA35843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581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140</xdr:row>
      <xdr:rowOff>485775</xdr:rowOff>
    </xdr:from>
    <xdr:to>
      <xdr:col>8</xdr:col>
      <xdr:colOff>190500</xdr:colOff>
      <xdr:row>143</xdr:row>
      <xdr:rowOff>85725</xdr:rowOff>
    </xdr:to>
    <xdr:sp macro="" textlink="">
      <xdr:nvSpPr>
        <xdr:cNvPr id="53" name="AutoShape 52" descr="https://1portodos.com.br/ResidencialVillage/images/proibido-preto.svg">
          <a:extLst>
            <a:ext uri="{FF2B5EF4-FFF2-40B4-BE49-F238E27FC236}">
              <a16:creationId xmlns:a16="http://schemas.microsoft.com/office/drawing/2014/main" id="{7AB60795-9365-4CAD-836C-0BD022F385B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2430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114</xdr:row>
      <xdr:rowOff>495300</xdr:rowOff>
    </xdr:from>
    <xdr:to>
      <xdr:col>8</xdr:col>
      <xdr:colOff>190500</xdr:colOff>
      <xdr:row>119</xdr:row>
      <xdr:rowOff>104775</xdr:rowOff>
    </xdr:to>
    <xdr:sp macro="" textlink="">
      <xdr:nvSpPr>
        <xdr:cNvPr id="54" name="AutoShape 53" descr="https://1portodos.com.br/ResidencialVillage/images/proibido-preto.svg">
          <a:extLst>
            <a:ext uri="{FF2B5EF4-FFF2-40B4-BE49-F238E27FC236}">
              <a16:creationId xmlns:a16="http://schemas.microsoft.com/office/drawing/2014/main" id="{011CE755-4ABD-409E-B383-355A3E5BF73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000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124</xdr:row>
      <xdr:rowOff>504825</xdr:rowOff>
    </xdr:from>
    <xdr:to>
      <xdr:col>8</xdr:col>
      <xdr:colOff>190500</xdr:colOff>
      <xdr:row>129</xdr:row>
      <xdr:rowOff>104775</xdr:rowOff>
    </xdr:to>
    <xdr:sp macro="" textlink="">
      <xdr:nvSpPr>
        <xdr:cNvPr id="55" name="AutoShape 54" descr="https://1portodos.com.br/ResidencialVillage/images/proibido-preto.svg">
          <a:extLst>
            <a:ext uri="{FF2B5EF4-FFF2-40B4-BE49-F238E27FC236}">
              <a16:creationId xmlns:a16="http://schemas.microsoft.com/office/drawing/2014/main" id="{F4F57B41-1BEB-47E8-87AC-84C8A7F6EC9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1438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147</xdr:row>
      <xdr:rowOff>514350</xdr:rowOff>
    </xdr:from>
    <xdr:to>
      <xdr:col>8</xdr:col>
      <xdr:colOff>190500</xdr:colOff>
      <xdr:row>150</xdr:row>
      <xdr:rowOff>85725</xdr:rowOff>
    </xdr:to>
    <xdr:sp macro="" textlink="">
      <xdr:nvSpPr>
        <xdr:cNvPr id="56" name="AutoShape 55" descr="https://1portodos.com.br/ResidencialVillage/images/proibido-preto.svg">
          <a:extLst>
            <a:ext uri="{FF2B5EF4-FFF2-40B4-BE49-F238E27FC236}">
              <a16:creationId xmlns:a16="http://schemas.microsoft.com/office/drawing/2014/main" id="{41619D54-D911-4160-96E1-BD0FED0586D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4525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129</xdr:row>
      <xdr:rowOff>523875</xdr:rowOff>
    </xdr:from>
    <xdr:to>
      <xdr:col>8</xdr:col>
      <xdr:colOff>190500</xdr:colOff>
      <xdr:row>132</xdr:row>
      <xdr:rowOff>85725</xdr:rowOff>
    </xdr:to>
    <xdr:sp macro="" textlink="">
      <xdr:nvSpPr>
        <xdr:cNvPr id="57" name="AutoShape 56" descr="https://1portodos.com.br/ResidencialVillage/images/proibido-preto.svg">
          <a:extLst>
            <a:ext uri="{FF2B5EF4-FFF2-40B4-BE49-F238E27FC236}">
              <a16:creationId xmlns:a16="http://schemas.microsoft.com/office/drawing/2014/main" id="{BD8AC9D6-64A1-4F9D-BF8C-EE48B848401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6107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</xdr:row>
      <xdr:rowOff>533400</xdr:rowOff>
    </xdr:from>
    <xdr:to>
      <xdr:col>8</xdr:col>
      <xdr:colOff>190500</xdr:colOff>
      <xdr:row>44</xdr:row>
      <xdr:rowOff>9525</xdr:rowOff>
    </xdr:to>
    <xdr:sp macro="" textlink="">
      <xdr:nvSpPr>
        <xdr:cNvPr id="58" name="AutoShape 57" descr="https://1portodos.com.br/ResidencialVillage/images/proibido-preto.svg">
          <a:extLst>
            <a:ext uri="{FF2B5EF4-FFF2-40B4-BE49-F238E27FC236}">
              <a16:creationId xmlns:a16="http://schemas.microsoft.com/office/drawing/2014/main" id="{C6F87CA9-597D-444A-9849-1E0E47F6BB4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572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90</xdr:row>
      <xdr:rowOff>542925</xdr:rowOff>
    </xdr:from>
    <xdr:to>
      <xdr:col>8</xdr:col>
      <xdr:colOff>190500</xdr:colOff>
      <xdr:row>95</xdr:row>
      <xdr:rowOff>104775</xdr:rowOff>
    </xdr:to>
    <xdr:sp macro="" textlink="">
      <xdr:nvSpPr>
        <xdr:cNvPr id="59" name="AutoShape 58" descr="https://1portodos.com.br/ResidencialVillage/images/proibido-preto.svg">
          <a:extLst>
            <a:ext uri="{FF2B5EF4-FFF2-40B4-BE49-F238E27FC236}">
              <a16:creationId xmlns:a16="http://schemas.microsoft.com/office/drawing/2014/main" id="{76A17456-AB18-4FED-841D-38FA02537A9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7153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121</xdr:row>
      <xdr:rowOff>552450</xdr:rowOff>
    </xdr:from>
    <xdr:to>
      <xdr:col>8</xdr:col>
      <xdr:colOff>190500</xdr:colOff>
      <xdr:row>125</xdr:row>
      <xdr:rowOff>28575</xdr:rowOff>
    </xdr:to>
    <xdr:sp macro="" textlink="">
      <xdr:nvSpPr>
        <xdr:cNvPr id="60" name="AutoShape 59" descr="https://1portodos.com.br/ResidencialVillage/images/proibido-preto.svg">
          <a:extLst>
            <a:ext uri="{FF2B5EF4-FFF2-40B4-BE49-F238E27FC236}">
              <a16:creationId xmlns:a16="http://schemas.microsoft.com/office/drawing/2014/main" id="{700A08D2-3E3E-4ED6-80AD-0060E2CEFBC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4390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120</xdr:row>
      <xdr:rowOff>561975</xdr:rowOff>
    </xdr:from>
    <xdr:to>
      <xdr:col>8</xdr:col>
      <xdr:colOff>190500</xdr:colOff>
      <xdr:row>123</xdr:row>
      <xdr:rowOff>219075</xdr:rowOff>
    </xdr:to>
    <xdr:sp macro="" textlink="">
      <xdr:nvSpPr>
        <xdr:cNvPr id="61" name="AutoShape 60" descr="https://1portodos.com.br/ResidencialVillage/images/proibido-preto.svg">
          <a:extLst>
            <a:ext uri="{FF2B5EF4-FFF2-40B4-BE49-F238E27FC236}">
              <a16:creationId xmlns:a16="http://schemas.microsoft.com/office/drawing/2014/main" id="{F339C162-028C-4B7F-B97F-79B0731FA6E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115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138</xdr:row>
      <xdr:rowOff>571500</xdr:rowOff>
    </xdr:from>
    <xdr:to>
      <xdr:col>8</xdr:col>
      <xdr:colOff>190500</xdr:colOff>
      <xdr:row>141</xdr:row>
      <xdr:rowOff>85725</xdr:rowOff>
    </xdr:to>
    <xdr:sp macro="" textlink="">
      <xdr:nvSpPr>
        <xdr:cNvPr id="62" name="AutoShape 61" descr="https://1portodos.com.br/ResidencialVillage/images/proibido-preto.svg">
          <a:extLst>
            <a:ext uri="{FF2B5EF4-FFF2-40B4-BE49-F238E27FC236}">
              <a16:creationId xmlns:a16="http://schemas.microsoft.com/office/drawing/2014/main" id="{B5C8B56E-8C10-46EC-857E-3ADDCBBACAB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915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160</xdr:row>
      <xdr:rowOff>581025</xdr:rowOff>
    </xdr:from>
    <xdr:to>
      <xdr:col>8</xdr:col>
      <xdr:colOff>190500</xdr:colOff>
      <xdr:row>163</xdr:row>
      <xdr:rowOff>85725</xdr:rowOff>
    </xdr:to>
    <xdr:sp macro="" textlink="">
      <xdr:nvSpPr>
        <xdr:cNvPr id="63" name="AutoShape 62" descr="https://1portodos.com.br/ResidencialVillage/images/proibido-preto.svg">
          <a:extLst>
            <a:ext uri="{FF2B5EF4-FFF2-40B4-BE49-F238E27FC236}">
              <a16:creationId xmlns:a16="http://schemas.microsoft.com/office/drawing/2014/main" id="{E5CDA4AA-D3B0-4830-A8DB-97476C680C4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7706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131</xdr:row>
      <xdr:rowOff>590550</xdr:rowOff>
    </xdr:from>
    <xdr:to>
      <xdr:col>8</xdr:col>
      <xdr:colOff>190500</xdr:colOff>
      <xdr:row>134</xdr:row>
      <xdr:rowOff>85725</xdr:rowOff>
    </xdr:to>
    <xdr:sp macro="" textlink="">
      <xdr:nvSpPr>
        <xdr:cNvPr id="64" name="AutoShape 63" descr="https://1portodos.com.br/ResidencialVillage/images/proibido-preto.svg">
          <a:extLst>
            <a:ext uri="{FF2B5EF4-FFF2-40B4-BE49-F238E27FC236}">
              <a16:creationId xmlns:a16="http://schemas.microsoft.com/office/drawing/2014/main" id="{DC483AB1-A6CB-4FBB-99FE-61FC189EA6F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1250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600075</xdr:rowOff>
    </xdr:from>
    <xdr:to>
      <xdr:col>8</xdr:col>
      <xdr:colOff>190500</xdr:colOff>
      <xdr:row>25</xdr:row>
      <xdr:rowOff>28575</xdr:rowOff>
    </xdr:to>
    <xdr:sp macro="" textlink="">
      <xdr:nvSpPr>
        <xdr:cNvPr id="65" name="AutoShape 64" descr="https://1portodos.com.br/ResidencialVillage/images/proibido-preto.svg">
          <a:extLst>
            <a:ext uri="{FF2B5EF4-FFF2-40B4-BE49-F238E27FC236}">
              <a16:creationId xmlns:a16="http://schemas.microsoft.com/office/drawing/2014/main" id="{D46EAAD7-95CE-4FAF-ACC2-D7A9ABAD721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390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</xdr:row>
      <xdr:rowOff>609600</xdr:rowOff>
    </xdr:from>
    <xdr:to>
      <xdr:col>8</xdr:col>
      <xdr:colOff>190500</xdr:colOff>
      <xdr:row>22</xdr:row>
      <xdr:rowOff>161925</xdr:rowOff>
    </xdr:to>
    <xdr:sp macro="" textlink="">
      <xdr:nvSpPr>
        <xdr:cNvPr id="66" name="AutoShape 65" descr="https://1portodos.com.br/ResidencialVillage/images/proibido-preto.svg">
          <a:extLst>
            <a:ext uri="{FF2B5EF4-FFF2-40B4-BE49-F238E27FC236}">
              <a16:creationId xmlns:a16="http://schemas.microsoft.com/office/drawing/2014/main" id="{66ADFCBC-CDE6-40CC-95FF-C5221CBCCFE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324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619125</xdr:rowOff>
    </xdr:from>
    <xdr:to>
      <xdr:col>8</xdr:col>
      <xdr:colOff>190500</xdr:colOff>
      <xdr:row>19</xdr:row>
      <xdr:rowOff>161925</xdr:rowOff>
    </xdr:to>
    <xdr:sp macro="" textlink="">
      <xdr:nvSpPr>
        <xdr:cNvPr id="67" name="AutoShape 66" descr="https://1portodos.com.br/ResidencialVillage/images/proibido-preto.svg">
          <a:extLst>
            <a:ext uri="{FF2B5EF4-FFF2-40B4-BE49-F238E27FC236}">
              <a16:creationId xmlns:a16="http://schemas.microsoft.com/office/drawing/2014/main" id="{EA2CDE42-0366-4DA8-89A2-1A10A16C620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0392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628650</xdr:rowOff>
    </xdr:from>
    <xdr:to>
      <xdr:col>8</xdr:col>
      <xdr:colOff>190500</xdr:colOff>
      <xdr:row>15</xdr:row>
      <xdr:rowOff>276225</xdr:rowOff>
    </xdr:to>
    <xdr:sp macro="" textlink="">
      <xdr:nvSpPr>
        <xdr:cNvPr id="68" name="AutoShape 67" descr="https://1portodos.com.br/ResidencialVillage/images/proibido-preto.svg">
          <a:extLst>
            <a:ext uri="{FF2B5EF4-FFF2-40B4-BE49-F238E27FC236}">
              <a16:creationId xmlns:a16="http://schemas.microsoft.com/office/drawing/2014/main" id="{CB660447-C47E-4288-A82E-1492D7AD326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0669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146</xdr:row>
      <xdr:rowOff>638175</xdr:rowOff>
    </xdr:from>
    <xdr:to>
      <xdr:col>8</xdr:col>
      <xdr:colOff>190500</xdr:colOff>
      <xdr:row>149</xdr:row>
      <xdr:rowOff>85725</xdr:rowOff>
    </xdr:to>
    <xdr:sp macro="" textlink="">
      <xdr:nvSpPr>
        <xdr:cNvPr id="69" name="AutoShape 68" descr="https://1portodos.com.br/ResidencialVillage/images/proibido-preto.svg">
          <a:extLst>
            <a:ext uri="{FF2B5EF4-FFF2-40B4-BE49-F238E27FC236}">
              <a16:creationId xmlns:a16="http://schemas.microsoft.com/office/drawing/2014/main" id="{AFCADB53-89E2-49EA-B2D6-7EEF7D1BE61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4144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118</xdr:row>
      <xdr:rowOff>647700</xdr:rowOff>
    </xdr:from>
    <xdr:to>
      <xdr:col>8</xdr:col>
      <xdr:colOff>190500</xdr:colOff>
      <xdr:row>120</xdr:row>
      <xdr:rowOff>276225</xdr:rowOff>
    </xdr:to>
    <xdr:sp macro="" textlink="">
      <xdr:nvSpPr>
        <xdr:cNvPr id="70" name="AutoShape 69" descr="https://1portodos.com.br/ResidencialVillage/images/proibido-preto.svg">
          <a:extLst>
            <a:ext uri="{FF2B5EF4-FFF2-40B4-BE49-F238E27FC236}">
              <a16:creationId xmlns:a16="http://schemas.microsoft.com/office/drawing/2014/main" id="{EA552792-C692-4AAD-AED4-EBF3F3CFA89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4103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657225</xdr:rowOff>
    </xdr:from>
    <xdr:to>
      <xdr:col>8</xdr:col>
      <xdr:colOff>190500</xdr:colOff>
      <xdr:row>10</xdr:row>
      <xdr:rowOff>9525</xdr:rowOff>
    </xdr:to>
    <xdr:sp macro="" textlink="">
      <xdr:nvSpPr>
        <xdr:cNvPr id="71" name="AutoShape 70" descr="https://1portodos.com.br/ResidencialVillage/images/proibido-preto.svg">
          <a:extLst>
            <a:ext uri="{FF2B5EF4-FFF2-40B4-BE49-F238E27FC236}">
              <a16:creationId xmlns:a16="http://schemas.microsoft.com/office/drawing/2014/main" id="{27F68710-BFE0-4B98-8F26-191A4059C9D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667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107</xdr:row>
      <xdr:rowOff>666750</xdr:rowOff>
    </xdr:from>
    <xdr:to>
      <xdr:col>8</xdr:col>
      <xdr:colOff>190500</xdr:colOff>
      <xdr:row>111</xdr:row>
      <xdr:rowOff>28575</xdr:rowOff>
    </xdr:to>
    <xdr:sp macro="" textlink="">
      <xdr:nvSpPr>
        <xdr:cNvPr id="72" name="AutoShape 71" descr="https://1portodos.com.br/ResidencialVillage/images/proibido-preto.svg">
          <a:extLst>
            <a:ext uri="{FF2B5EF4-FFF2-40B4-BE49-F238E27FC236}">
              <a16:creationId xmlns:a16="http://schemas.microsoft.com/office/drawing/2014/main" id="{A84BA220-EED1-4590-94E1-FF9ABDD34E3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343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108</xdr:row>
      <xdr:rowOff>676275</xdr:rowOff>
    </xdr:from>
    <xdr:to>
      <xdr:col>8</xdr:col>
      <xdr:colOff>190500</xdr:colOff>
      <xdr:row>112</xdr:row>
      <xdr:rowOff>161925</xdr:rowOff>
    </xdr:to>
    <xdr:sp macro="" textlink="">
      <xdr:nvSpPr>
        <xdr:cNvPr id="73" name="AutoShape 72" descr="https://1portodos.com.br/ResidencialVillage/images/proibido-preto.svg">
          <a:extLst>
            <a:ext uri="{FF2B5EF4-FFF2-40B4-BE49-F238E27FC236}">
              <a16:creationId xmlns:a16="http://schemas.microsoft.com/office/drawing/2014/main" id="{7C12FCAF-F29F-4703-B167-FA217C8AC2E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667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152</xdr:row>
      <xdr:rowOff>685800</xdr:rowOff>
    </xdr:from>
    <xdr:to>
      <xdr:col>8</xdr:col>
      <xdr:colOff>190500</xdr:colOff>
      <xdr:row>155</xdr:row>
      <xdr:rowOff>85725</xdr:rowOff>
    </xdr:to>
    <xdr:sp macro="" textlink="">
      <xdr:nvSpPr>
        <xdr:cNvPr id="74" name="AutoShape 73" descr="https://1portodos.com.br/ResidencialVillage/images/proibido-preto.svg">
          <a:extLst>
            <a:ext uri="{FF2B5EF4-FFF2-40B4-BE49-F238E27FC236}">
              <a16:creationId xmlns:a16="http://schemas.microsoft.com/office/drawing/2014/main" id="{6CF1F558-EBAC-4BB0-84AF-F2975B5ED52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6049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101</xdr:row>
      <xdr:rowOff>695325</xdr:rowOff>
    </xdr:from>
    <xdr:to>
      <xdr:col>8</xdr:col>
      <xdr:colOff>190500</xdr:colOff>
      <xdr:row>102</xdr:row>
      <xdr:rowOff>200025</xdr:rowOff>
    </xdr:to>
    <xdr:sp macro="" textlink="">
      <xdr:nvSpPr>
        <xdr:cNvPr id="75" name="AutoShape 74" descr="https://1portodos.com.br/ResidencialVillage/images/proibido-preto.svg">
          <a:extLst>
            <a:ext uri="{FF2B5EF4-FFF2-40B4-BE49-F238E27FC236}">
              <a16:creationId xmlns:a16="http://schemas.microsoft.com/office/drawing/2014/main" id="{C0C3AB19-8267-4EAD-8823-8C24151F65D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477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145</xdr:row>
      <xdr:rowOff>47625</xdr:rowOff>
    </xdr:from>
    <xdr:to>
      <xdr:col>8</xdr:col>
      <xdr:colOff>190500</xdr:colOff>
      <xdr:row>147</xdr:row>
      <xdr:rowOff>133350</xdr:rowOff>
    </xdr:to>
    <xdr:sp macro="" textlink="">
      <xdr:nvSpPr>
        <xdr:cNvPr id="76" name="AutoShape 75" descr="https://1portodos.com.br/ResidencialVillage/images/proibido-preto.svg">
          <a:extLst>
            <a:ext uri="{FF2B5EF4-FFF2-40B4-BE49-F238E27FC236}">
              <a16:creationId xmlns:a16="http://schemas.microsoft.com/office/drawing/2014/main" id="{B53B03D8-E44A-4606-A54D-9E5C983D7D5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36207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141</xdr:row>
      <xdr:rowOff>57150</xdr:rowOff>
    </xdr:from>
    <xdr:to>
      <xdr:col>8</xdr:col>
      <xdr:colOff>190500</xdr:colOff>
      <xdr:row>143</xdr:row>
      <xdr:rowOff>95250</xdr:rowOff>
    </xdr:to>
    <xdr:sp macro="" textlink="">
      <xdr:nvSpPr>
        <xdr:cNvPr id="77" name="AutoShape 76" descr="https://1portodos.com.br/ResidencialVillage/images/proibido-preto.svg">
          <a:extLst>
            <a:ext uri="{FF2B5EF4-FFF2-40B4-BE49-F238E27FC236}">
              <a16:creationId xmlns:a16="http://schemas.microsoft.com/office/drawing/2014/main" id="{A4D72A17-9825-45EC-968F-DE8A775E07D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2487275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141</xdr:row>
      <xdr:rowOff>723900</xdr:rowOff>
    </xdr:from>
    <xdr:to>
      <xdr:col>8</xdr:col>
      <xdr:colOff>190500</xdr:colOff>
      <xdr:row>144</xdr:row>
      <xdr:rowOff>85725</xdr:rowOff>
    </xdr:to>
    <xdr:sp macro="" textlink="">
      <xdr:nvSpPr>
        <xdr:cNvPr id="78" name="AutoShape 77" descr="https://1portodos.com.br/ResidencialVillage/images/proibido-preto.svg">
          <a:extLst>
            <a:ext uri="{FF2B5EF4-FFF2-40B4-BE49-F238E27FC236}">
              <a16:creationId xmlns:a16="http://schemas.microsoft.com/office/drawing/2014/main" id="{FD2A7E03-F358-48A9-BD62-465F3AEA048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2620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92</xdr:row>
      <xdr:rowOff>76200</xdr:rowOff>
    </xdr:from>
    <xdr:to>
      <xdr:col>8</xdr:col>
      <xdr:colOff>190500</xdr:colOff>
      <xdr:row>94</xdr:row>
      <xdr:rowOff>95250</xdr:rowOff>
    </xdr:to>
    <xdr:sp macro="" textlink="">
      <xdr:nvSpPr>
        <xdr:cNvPr id="79" name="AutoShape 78" descr="https://1portodos.com.br/ResidencialVillage/images/proibido-preto.svg">
          <a:extLst>
            <a:ext uri="{FF2B5EF4-FFF2-40B4-BE49-F238E27FC236}">
              <a16:creationId xmlns:a16="http://schemas.microsoft.com/office/drawing/2014/main" id="{DABD2B54-A2F6-40F7-8995-4717430175A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4982825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151</xdr:row>
      <xdr:rowOff>85725</xdr:rowOff>
    </xdr:from>
    <xdr:to>
      <xdr:col>8</xdr:col>
      <xdr:colOff>190500</xdr:colOff>
      <xdr:row>153</xdr:row>
      <xdr:rowOff>95250</xdr:rowOff>
    </xdr:to>
    <xdr:sp macro="" textlink="">
      <xdr:nvSpPr>
        <xdr:cNvPr id="80" name="AutoShape 79" descr="https://1portodos.com.br/ResidencialVillage/images/proibido-preto.svg">
          <a:extLst>
            <a:ext uri="{FF2B5EF4-FFF2-40B4-BE49-F238E27FC236}">
              <a16:creationId xmlns:a16="http://schemas.microsoft.com/office/drawing/2014/main" id="{E5C50BE9-8054-4138-9C76-48773C8EC3D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754350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151</xdr:row>
      <xdr:rowOff>752475</xdr:rowOff>
    </xdr:from>
    <xdr:to>
      <xdr:col>8</xdr:col>
      <xdr:colOff>190500</xdr:colOff>
      <xdr:row>154</xdr:row>
      <xdr:rowOff>85725</xdr:rowOff>
    </xdr:to>
    <xdr:sp macro="" textlink="">
      <xdr:nvSpPr>
        <xdr:cNvPr id="81" name="AutoShape 80" descr="https://1portodos.com.br/ResidencialVillage/images/proibido-preto.svg">
          <a:extLst>
            <a:ext uri="{FF2B5EF4-FFF2-40B4-BE49-F238E27FC236}">
              <a16:creationId xmlns:a16="http://schemas.microsoft.com/office/drawing/2014/main" id="{50828FE1-932E-422A-A175-C0E0DDA20B0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859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175</xdr:row>
      <xdr:rowOff>762000</xdr:rowOff>
    </xdr:from>
    <xdr:to>
      <xdr:col>8</xdr:col>
      <xdr:colOff>190500</xdr:colOff>
      <xdr:row>178</xdr:row>
      <xdr:rowOff>85725</xdr:rowOff>
    </xdr:to>
    <xdr:sp macro="" textlink="">
      <xdr:nvSpPr>
        <xdr:cNvPr id="82" name="AutoShape 81" descr="https://1portodos.com.br/ResidencialVillage/images/proibido-preto.svg">
          <a:extLst>
            <a:ext uri="{FF2B5EF4-FFF2-40B4-BE49-F238E27FC236}">
              <a16:creationId xmlns:a16="http://schemas.microsoft.com/office/drawing/2014/main" id="{410BF253-47AE-4680-95B1-316203DBC1C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1212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159</xdr:row>
      <xdr:rowOff>771525</xdr:rowOff>
    </xdr:from>
    <xdr:to>
      <xdr:col>8</xdr:col>
      <xdr:colOff>190500</xdr:colOff>
      <xdr:row>162</xdr:row>
      <xdr:rowOff>85725</xdr:rowOff>
    </xdr:to>
    <xdr:sp macro="" textlink="">
      <xdr:nvSpPr>
        <xdr:cNvPr id="83" name="AutoShape 82" descr="https://1portodos.com.br/ResidencialVillage/images/proibido-preto.svg">
          <a:extLst>
            <a:ext uri="{FF2B5EF4-FFF2-40B4-BE49-F238E27FC236}">
              <a16:creationId xmlns:a16="http://schemas.microsoft.com/office/drawing/2014/main" id="{B0039640-F3B9-4EA3-B992-71CB95490AE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7516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139</xdr:row>
      <xdr:rowOff>781050</xdr:rowOff>
    </xdr:from>
    <xdr:to>
      <xdr:col>8</xdr:col>
      <xdr:colOff>190500</xdr:colOff>
      <xdr:row>142</xdr:row>
      <xdr:rowOff>85725</xdr:rowOff>
    </xdr:to>
    <xdr:sp macro="" textlink="">
      <xdr:nvSpPr>
        <xdr:cNvPr id="84" name="AutoShape 83" descr="https://1portodos.com.br/ResidencialVillage/images/proibido-preto.svg">
          <a:extLst>
            <a:ext uri="{FF2B5EF4-FFF2-40B4-BE49-F238E27FC236}">
              <a16:creationId xmlns:a16="http://schemas.microsoft.com/office/drawing/2014/main" id="{7FE59BD4-5E01-4181-A499-D628823631C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2239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161</xdr:row>
      <xdr:rowOff>790575</xdr:rowOff>
    </xdr:from>
    <xdr:to>
      <xdr:col>8</xdr:col>
      <xdr:colOff>190500</xdr:colOff>
      <xdr:row>164</xdr:row>
      <xdr:rowOff>85725</xdr:rowOff>
    </xdr:to>
    <xdr:sp macro="" textlink="">
      <xdr:nvSpPr>
        <xdr:cNvPr id="85" name="AutoShape 84" descr="https://1portodos.com.br/ResidencialVillage/images/proibido-preto.svg">
          <a:extLst>
            <a:ext uri="{FF2B5EF4-FFF2-40B4-BE49-F238E27FC236}">
              <a16:creationId xmlns:a16="http://schemas.microsoft.com/office/drawing/2014/main" id="{BBDD10C5-B745-4E47-9BFD-4C3649CF3B0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7897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176</xdr:row>
      <xdr:rowOff>142875</xdr:rowOff>
    </xdr:from>
    <xdr:to>
      <xdr:col>8</xdr:col>
      <xdr:colOff>190500</xdr:colOff>
      <xdr:row>179</xdr:row>
      <xdr:rowOff>38100</xdr:rowOff>
    </xdr:to>
    <xdr:sp macro="" textlink="">
      <xdr:nvSpPr>
        <xdr:cNvPr id="86" name="AutoShape 85" descr="https://1portodos.com.br/ResidencialVillage/images/proibido-preto.svg">
          <a:extLst>
            <a:ext uri="{FF2B5EF4-FFF2-40B4-BE49-F238E27FC236}">
              <a16:creationId xmlns:a16="http://schemas.microsoft.com/office/drawing/2014/main" id="{EDE0B916-D33D-4E68-B097-CB9CEF72073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13550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135</xdr:row>
      <xdr:rowOff>152400</xdr:rowOff>
    </xdr:from>
    <xdr:to>
      <xdr:col>8</xdr:col>
      <xdr:colOff>190500</xdr:colOff>
      <xdr:row>137</xdr:row>
      <xdr:rowOff>238125</xdr:rowOff>
    </xdr:to>
    <xdr:sp macro="" textlink="">
      <xdr:nvSpPr>
        <xdr:cNvPr id="87" name="AutoShape 86" descr="https://1portodos.com.br/ResidencialVillage/images/proibido-preto.svg">
          <a:extLst>
            <a:ext uri="{FF2B5EF4-FFF2-40B4-BE49-F238E27FC236}">
              <a16:creationId xmlns:a16="http://schemas.microsoft.com/office/drawing/2014/main" id="{06FA3F3E-B7C9-4384-B72D-A3872E976A2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172825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57</xdr:row>
      <xdr:rowOff>161925</xdr:rowOff>
    </xdr:from>
    <xdr:to>
      <xdr:col>8</xdr:col>
      <xdr:colOff>190500</xdr:colOff>
      <xdr:row>58</xdr:row>
      <xdr:rowOff>171450</xdr:rowOff>
    </xdr:to>
    <xdr:sp macro="" textlink="">
      <xdr:nvSpPr>
        <xdr:cNvPr id="88" name="AutoShape 87" descr="https://1portodos.com.br/ResidencialVillage/images/proibido-preto.svg">
          <a:extLst>
            <a:ext uri="{FF2B5EF4-FFF2-40B4-BE49-F238E27FC236}">
              <a16:creationId xmlns:a16="http://schemas.microsoft.com/office/drawing/2014/main" id="{F6A1E496-B9E6-4A9C-A80E-15D9A2C94D6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333500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57</xdr:row>
      <xdr:rowOff>828675</xdr:rowOff>
    </xdr:from>
    <xdr:to>
      <xdr:col>8</xdr:col>
      <xdr:colOff>190500</xdr:colOff>
      <xdr:row>59</xdr:row>
      <xdr:rowOff>142875</xdr:rowOff>
    </xdr:to>
    <xdr:sp macro="" textlink="">
      <xdr:nvSpPr>
        <xdr:cNvPr id="89" name="AutoShape 88" descr="https://1portodos.com.br/ResidencialVillage/images/proibido-preto.svg">
          <a:extLst>
            <a:ext uri="{FF2B5EF4-FFF2-40B4-BE49-F238E27FC236}">
              <a16:creationId xmlns:a16="http://schemas.microsoft.com/office/drawing/2014/main" id="{2CEDB3E0-4BA1-41C4-9BAA-B875F418C00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3620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</xdr:row>
      <xdr:rowOff>19050</xdr:rowOff>
    </xdr:from>
    <xdr:to>
      <xdr:col>8</xdr:col>
      <xdr:colOff>190500</xdr:colOff>
      <xdr:row>26</xdr:row>
      <xdr:rowOff>285750</xdr:rowOff>
    </xdr:to>
    <xdr:sp macro="" textlink="">
      <xdr:nvSpPr>
        <xdr:cNvPr id="90" name="AutoShape 89" descr="https://1portodos.com.br/ResidencialVillage/images/proibido-preto.svg">
          <a:extLst>
            <a:ext uri="{FF2B5EF4-FFF2-40B4-BE49-F238E27FC236}">
              <a16:creationId xmlns:a16="http://schemas.microsoft.com/office/drawing/2014/main" id="{298F83FE-8ECD-4C91-BDB8-E120A95A4BF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3066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</xdr:row>
      <xdr:rowOff>847725</xdr:rowOff>
    </xdr:from>
    <xdr:to>
      <xdr:col>8</xdr:col>
      <xdr:colOff>190500</xdr:colOff>
      <xdr:row>27</xdr:row>
      <xdr:rowOff>142875</xdr:rowOff>
    </xdr:to>
    <xdr:sp macro="" textlink="">
      <xdr:nvSpPr>
        <xdr:cNvPr id="91" name="AutoShape 90" descr="https://1portodos.com.br/ResidencialVillage/images/proibido-preto.svg">
          <a:extLst>
            <a:ext uri="{FF2B5EF4-FFF2-40B4-BE49-F238E27FC236}">
              <a16:creationId xmlns:a16="http://schemas.microsoft.com/office/drawing/2014/main" id="{B59ED2BC-6637-4F64-BE17-02417C72DE1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5478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</xdr:row>
      <xdr:rowOff>857250</xdr:rowOff>
    </xdr:from>
    <xdr:to>
      <xdr:col>8</xdr:col>
      <xdr:colOff>190500</xdr:colOff>
      <xdr:row>41</xdr:row>
      <xdr:rowOff>161925</xdr:rowOff>
    </xdr:to>
    <xdr:sp macro="" textlink="">
      <xdr:nvSpPr>
        <xdr:cNvPr id="92" name="AutoShape 91" descr="https://1portodos.com.br/ResidencialVillage/images/proibido-preto.svg">
          <a:extLst>
            <a:ext uri="{FF2B5EF4-FFF2-40B4-BE49-F238E27FC236}">
              <a16:creationId xmlns:a16="http://schemas.microsoft.com/office/drawing/2014/main" id="{5E415B33-BCBD-4670-93B0-B4FC008933E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0293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148</xdr:row>
      <xdr:rowOff>47625</xdr:rowOff>
    </xdr:from>
    <xdr:to>
      <xdr:col>8</xdr:col>
      <xdr:colOff>190500</xdr:colOff>
      <xdr:row>150</xdr:row>
      <xdr:rowOff>95250</xdr:rowOff>
    </xdr:to>
    <xdr:sp macro="" textlink="">
      <xdr:nvSpPr>
        <xdr:cNvPr id="93" name="AutoShape 92" descr="https://1portodos.com.br/ResidencialVillage/images/proibido-preto.svg">
          <a:extLst>
            <a:ext uri="{FF2B5EF4-FFF2-40B4-BE49-F238E27FC236}">
              <a16:creationId xmlns:a16="http://schemas.microsoft.com/office/drawing/2014/main" id="{E42C6C9D-486A-4463-BAE2-3CBE458C2BA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4573250"/>
          <a:ext cx="1905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191</xdr:row>
      <xdr:rowOff>57150</xdr:rowOff>
    </xdr:from>
    <xdr:to>
      <xdr:col>8</xdr:col>
      <xdr:colOff>190500</xdr:colOff>
      <xdr:row>193</xdr:row>
      <xdr:rowOff>95250</xdr:rowOff>
    </xdr:to>
    <xdr:sp macro="" textlink="">
      <xdr:nvSpPr>
        <xdr:cNvPr id="94" name="AutoShape 93" descr="https://1portodos.com.br/ResidencialVillage/images/proibido-preto.svg">
          <a:extLst>
            <a:ext uri="{FF2B5EF4-FFF2-40B4-BE49-F238E27FC236}">
              <a16:creationId xmlns:a16="http://schemas.microsoft.com/office/drawing/2014/main" id="{C8675D62-071B-4507-BFE6-68773344A87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4126825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180</xdr:row>
      <xdr:rowOff>228600</xdr:rowOff>
    </xdr:from>
    <xdr:to>
      <xdr:col>8</xdr:col>
      <xdr:colOff>190500</xdr:colOff>
      <xdr:row>183</xdr:row>
      <xdr:rowOff>85725</xdr:rowOff>
    </xdr:to>
    <xdr:sp macro="" textlink="">
      <xdr:nvSpPr>
        <xdr:cNvPr id="95" name="AutoShape 94" descr="https://1portodos.com.br/ResidencialVillage/images/proibido-preto.svg">
          <a:extLst>
            <a:ext uri="{FF2B5EF4-FFF2-40B4-BE49-F238E27FC236}">
              <a16:creationId xmlns:a16="http://schemas.microsoft.com/office/drawing/2014/main" id="{693341A0-2CCF-465C-A8BE-3213A902767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2164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183</xdr:row>
      <xdr:rowOff>238125</xdr:rowOff>
    </xdr:from>
    <xdr:to>
      <xdr:col>8</xdr:col>
      <xdr:colOff>190500</xdr:colOff>
      <xdr:row>186</xdr:row>
      <xdr:rowOff>85725</xdr:rowOff>
    </xdr:to>
    <xdr:sp macro="" textlink="">
      <xdr:nvSpPr>
        <xdr:cNvPr id="96" name="AutoShape 95" descr="https://1portodos.com.br/ResidencialVillage/images/proibido-preto.svg">
          <a:extLst>
            <a:ext uri="{FF2B5EF4-FFF2-40B4-BE49-F238E27FC236}">
              <a16:creationId xmlns:a16="http://schemas.microsoft.com/office/drawing/2014/main" id="{9CB6C7CA-2A3A-4F0C-8101-05C556ADE2A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2736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186</xdr:row>
      <xdr:rowOff>247650</xdr:rowOff>
    </xdr:from>
    <xdr:to>
      <xdr:col>8</xdr:col>
      <xdr:colOff>190500</xdr:colOff>
      <xdr:row>188</xdr:row>
      <xdr:rowOff>180975</xdr:rowOff>
    </xdr:to>
    <xdr:sp macro="" textlink="">
      <xdr:nvSpPr>
        <xdr:cNvPr id="97" name="AutoShape 96" descr="https://1portodos.com.br/ResidencialVillage/images/proibido-preto.svg">
          <a:extLst>
            <a:ext uri="{FF2B5EF4-FFF2-40B4-BE49-F238E27FC236}">
              <a16:creationId xmlns:a16="http://schemas.microsoft.com/office/drawing/2014/main" id="{AC4512BD-6A45-49AA-ABC9-ED5DAFAF54F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330767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189</xdr:row>
      <xdr:rowOff>257175</xdr:rowOff>
    </xdr:from>
    <xdr:to>
      <xdr:col>8</xdr:col>
      <xdr:colOff>190500</xdr:colOff>
      <xdr:row>192</xdr:row>
      <xdr:rowOff>0</xdr:rowOff>
    </xdr:to>
    <xdr:sp macro="" textlink="">
      <xdr:nvSpPr>
        <xdr:cNvPr id="98" name="AutoShape 97" descr="https://1portodos.com.br/ResidencialVillage/images/proibido-preto.svg">
          <a:extLst>
            <a:ext uri="{FF2B5EF4-FFF2-40B4-BE49-F238E27FC236}">
              <a16:creationId xmlns:a16="http://schemas.microsoft.com/office/drawing/2014/main" id="{15F33D77-9700-4FB6-9DA6-29E32E64475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3879175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181</xdr:row>
      <xdr:rowOff>266700</xdr:rowOff>
    </xdr:from>
    <xdr:to>
      <xdr:col>8</xdr:col>
      <xdr:colOff>190500</xdr:colOff>
      <xdr:row>184</xdr:row>
      <xdr:rowOff>85725</xdr:rowOff>
    </xdr:to>
    <xdr:sp macro="" textlink="">
      <xdr:nvSpPr>
        <xdr:cNvPr id="99" name="AutoShape 98" descr="https://1portodos.com.br/ResidencialVillage/images/proibido-preto.svg">
          <a:extLst>
            <a:ext uri="{FF2B5EF4-FFF2-40B4-BE49-F238E27FC236}">
              <a16:creationId xmlns:a16="http://schemas.microsoft.com/office/drawing/2014/main" id="{8610333A-A0B1-41F7-8707-4CC3747F2E1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2355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184</xdr:row>
      <xdr:rowOff>276225</xdr:rowOff>
    </xdr:from>
    <xdr:to>
      <xdr:col>8</xdr:col>
      <xdr:colOff>190500</xdr:colOff>
      <xdr:row>187</xdr:row>
      <xdr:rowOff>19050</xdr:rowOff>
    </xdr:to>
    <xdr:sp macro="" textlink="">
      <xdr:nvSpPr>
        <xdr:cNvPr id="100" name="AutoShape 99" descr="https://1portodos.com.br/ResidencialVillage/images/proibido-preto.svg">
          <a:extLst>
            <a:ext uri="{FF2B5EF4-FFF2-40B4-BE49-F238E27FC236}">
              <a16:creationId xmlns:a16="http://schemas.microsoft.com/office/drawing/2014/main" id="{F9E8629F-1803-4CC3-8B73-7C538D5149F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2926675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187</xdr:row>
      <xdr:rowOff>285750</xdr:rowOff>
    </xdr:from>
    <xdr:to>
      <xdr:col>8</xdr:col>
      <xdr:colOff>190500</xdr:colOff>
      <xdr:row>190</xdr:row>
      <xdr:rowOff>28575</xdr:rowOff>
    </xdr:to>
    <xdr:sp macro="" textlink="">
      <xdr:nvSpPr>
        <xdr:cNvPr id="101" name="AutoShape 100" descr="https://1portodos.com.br/ResidencialVillage/images/proibido-preto.svg">
          <a:extLst>
            <a:ext uri="{FF2B5EF4-FFF2-40B4-BE49-F238E27FC236}">
              <a16:creationId xmlns:a16="http://schemas.microsoft.com/office/drawing/2014/main" id="{8F0B0FDB-B0AB-403C-B3CC-8E576A00AEE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3498175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190</xdr:row>
      <xdr:rowOff>295275</xdr:rowOff>
    </xdr:from>
    <xdr:to>
      <xdr:col>8</xdr:col>
      <xdr:colOff>190500</xdr:colOff>
      <xdr:row>193</xdr:row>
      <xdr:rowOff>38100</xdr:rowOff>
    </xdr:to>
    <xdr:sp macro="" textlink="">
      <xdr:nvSpPr>
        <xdr:cNvPr id="102" name="AutoShape 101" descr="https://1portodos.com.br/ResidencialVillage/images/proibido-preto.svg">
          <a:extLst>
            <a:ext uri="{FF2B5EF4-FFF2-40B4-BE49-F238E27FC236}">
              <a16:creationId xmlns:a16="http://schemas.microsoft.com/office/drawing/2014/main" id="{A2AC4A4C-5AD6-45A2-B81F-F0BF237C0BA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4069675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179</xdr:row>
      <xdr:rowOff>304800</xdr:rowOff>
    </xdr:from>
    <xdr:to>
      <xdr:col>8</xdr:col>
      <xdr:colOff>190500</xdr:colOff>
      <xdr:row>182</xdr:row>
      <xdr:rowOff>85725</xdr:rowOff>
    </xdr:to>
    <xdr:sp macro="" textlink="">
      <xdr:nvSpPr>
        <xdr:cNvPr id="103" name="AutoShape 102" descr="https://1portodos.com.br/ResidencialVillage/images/proibido-preto.svg">
          <a:extLst>
            <a:ext uri="{FF2B5EF4-FFF2-40B4-BE49-F238E27FC236}">
              <a16:creationId xmlns:a16="http://schemas.microsoft.com/office/drawing/2014/main" id="{A34D81FB-5836-468A-A362-C2204D2AA5F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1974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182</xdr:row>
      <xdr:rowOff>314325</xdr:rowOff>
    </xdr:from>
    <xdr:to>
      <xdr:col>8</xdr:col>
      <xdr:colOff>190500</xdr:colOff>
      <xdr:row>185</xdr:row>
      <xdr:rowOff>85725</xdr:rowOff>
    </xdr:to>
    <xdr:sp macro="" textlink="">
      <xdr:nvSpPr>
        <xdr:cNvPr id="104" name="AutoShape 103" descr="https://1portodos.com.br/ResidencialVillage/images/proibido-preto.svg">
          <a:extLst>
            <a:ext uri="{FF2B5EF4-FFF2-40B4-BE49-F238E27FC236}">
              <a16:creationId xmlns:a16="http://schemas.microsoft.com/office/drawing/2014/main" id="{F231D263-D89D-45C9-B703-97CCEC7682A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2545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185</xdr:row>
      <xdr:rowOff>323850</xdr:rowOff>
    </xdr:from>
    <xdr:to>
      <xdr:col>8</xdr:col>
      <xdr:colOff>190500</xdr:colOff>
      <xdr:row>188</xdr:row>
      <xdr:rowOff>66675</xdr:rowOff>
    </xdr:to>
    <xdr:sp macro="" textlink="">
      <xdr:nvSpPr>
        <xdr:cNvPr id="105" name="AutoShape 104" descr="https://1portodos.com.br/ResidencialVillage/images/proibido-preto.svg">
          <a:extLst>
            <a:ext uri="{FF2B5EF4-FFF2-40B4-BE49-F238E27FC236}">
              <a16:creationId xmlns:a16="http://schemas.microsoft.com/office/drawing/2014/main" id="{03B056D2-B4AE-42B3-8078-02E3636365B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3117175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188</xdr:row>
      <xdr:rowOff>333375</xdr:rowOff>
    </xdr:from>
    <xdr:to>
      <xdr:col>8</xdr:col>
      <xdr:colOff>190500</xdr:colOff>
      <xdr:row>191</xdr:row>
      <xdr:rowOff>85725</xdr:rowOff>
    </xdr:to>
    <xdr:sp macro="" textlink="">
      <xdr:nvSpPr>
        <xdr:cNvPr id="106" name="AutoShape 105" descr="https://1portodos.com.br/ResidencialVillage/images/proibido-preto.svg">
          <a:extLst>
            <a:ext uri="{FF2B5EF4-FFF2-40B4-BE49-F238E27FC236}">
              <a16:creationId xmlns:a16="http://schemas.microsoft.com/office/drawing/2014/main" id="{D9641A36-7D42-4886-AB38-B598DBDE38F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3688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177</xdr:row>
      <xdr:rowOff>342900</xdr:rowOff>
    </xdr:from>
    <xdr:to>
      <xdr:col>8</xdr:col>
      <xdr:colOff>190500</xdr:colOff>
      <xdr:row>180</xdr:row>
      <xdr:rowOff>85725</xdr:rowOff>
    </xdr:to>
    <xdr:sp macro="" textlink="">
      <xdr:nvSpPr>
        <xdr:cNvPr id="107" name="AutoShape 106" descr="https://1portodos.com.br/ResidencialVillage/images/proibido-preto.svg">
          <a:extLst>
            <a:ext uri="{FF2B5EF4-FFF2-40B4-BE49-F238E27FC236}">
              <a16:creationId xmlns:a16="http://schemas.microsoft.com/office/drawing/2014/main" id="{A9552944-4866-4628-A7CA-D082F697808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1593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102</xdr:row>
      <xdr:rowOff>28575</xdr:rowOff>
    </xdr:from>
    <xdr:to>
      <xdr:col>8</xdr:col>
      <xdr:colOff>190500</xdr:colOff>
      <xdr:row>103</xdr:row>
      <xdr:rowOff>19050</xdr:rowOff>
    </xdr:to>
    <xdr:sp macro="" textlink="">
      <xdr:nvSpPr>
        <xdr:cNvPr id="108" name="AutoShape 107" descr="https://1portodos.com.br/ResidencialVillage/images/proibido-preto.svg">
          <a:extLst>
            <a:ext uri="{FF2B5EF4-FFF2-40B4-BE49-F238E27FC236}">
              <a16:creationId xmlns:a16="http://schemas.microsoft.com/office/drawing/2014/main" id="{1888D8B0-1FCC-48A5-A329-4808D98FA29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76300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102</xdr:row>
      <xdr:rowOff>1019175</xdr:rowOff>
    </xdr:from>
    <xdr:to>
      <xdr:col>8</xdr:col>
      <xdr:colOff>190500</xdr:colOff>
      <xdr:row>104</xdr:row>
      <xdr:rowOff>142875</xdr:rowOff>
    </xdr:to>
    <xdr:sp macro="" textlink="">
      <xdr:nvSpPr>
        <xdr:cNvPr id="109" name="AutoShape 108" descr="https://1portodos.com.br/ResidencialVillage/images/proibido-preto.svg">
          <a:extLst>
            <a:ext uri="{FF2B5EF4-FFF2-40B4-BE49-F238E27FC236}">
              <a16:creationId xmlns:a16="http://schemas.microsoft.com/office/drawing/2014/main" id="{3D654B47-107E-479D-9BAC-34878A9F28B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71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133</xdr:row>
      <xdr:rowOff>1028700</xdr:rowOff>
    </xdr:from>
    <xdr:to>
      <xdr:col>8</xdr:col>
      <xdr:colOff>190500</xdr:colOff>
      <xdr:row>137</xdr:row>
      <xdr:rowOff>28575</xdr:rowOff>
    </xdr:to>
    <xdr:sp macro="" textlink="">
      <xdr:nvSpPr>
        <xdr:cNvPr id="110" name="AutoShape 109" descr="https://1portodos.com.br/ResidencialVillage/images/proibido-preto.svg">
          <a:extLst>
            <a:ext uri="{FF2B5EF4-FFF2-40B4-BE49-F238E27FC236}">
              <a16:creationId xmlns:a16="http://schemas.microsoft.com/office/drawing/2014/main" id="{3797CC58-7C1D-4478-822C-12FBE703CCB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6394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</xdr:row>
      <xdr:rowOff>1038225</xdr:rowOff>
    </xdr:from>
    <xdr:to>
      <xdr:col>8</xdr:col>
      <xdr:colOff>190500</xdr:colOff>
      <xdr:row>43</xdr:row>
      <xdr:rowOff>85725</xdr:rowOff>
    </xdr:to>
    <xdr:sp macro="" textlink="">
      <xdr:nvSpPr>
        <xdr:cNvPr id="111" name="AutoShape 110" descr="https://1portodos.com.br/ResidencialVillage/images/proibido-preto.svg">
          <a:extLst>
            <a:ext uri="{FF2B5EF4-FFF2-40B4-BE49-F238E27FC236}">
              <a16:creationId xmlns:a16="http://schemas.microsoft.com/office/drawing/2014/main" id="{C8431B10-B037-43F2-B876-0EA1DE8565A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3382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172</xdr:row>
      <xdr:rowOff>390525</xdr:rowOff>
    </xdr:from>
    <xdr:to>
      <xdr:col>8</xdr:col>
      <xdr:colOff>190500</xdr:colOff>
      <xdr:row>175</xdr:row>
      <xdr:rowOff>85725</xdr:rowOff>
    </xdr:to>
    <xdr:sp macro="" textlink="">
      <xdr:nvSpPr>
        <xdr:cNvPr id="112" name="AutoShape 111" descr="https://1portodos.com.br/ResidencialVillage/images/proibido-preto.svg">
          <a:extLst>
            <a:ext uri="{FF2B5EF4-FFF2-40B4-BE49-F238E27FC236}">
              <a16:creationId xmlns:a16="http://schemas.microsoft.com/office/drawing/2014/main" id="{11DE8D1F-F204-4C9B-94B2-7DE727B3CD2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0640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156</xdr:row>
      <xdr:rowOff>238125</xdr:rowOff>
    </xdr:from>
    <xdr:to>
      <xdr:col>8</xdr:col>
      <xdr:colOff>190500</xdr:colOff>
      <xdr:row>158</xdr:row>
      <xdr:rowOff>171450</xdr:rowOff>
    </xdr:to>
    <xdr:sp macro="" textlink="">
      <xdr:nvSpPr>
        <xdr:cNvPr id="113" name="AutoShape 112" descr="https://1portodos.com.br/ResidencialVillage/images/proibido-preto.svg">
          <a:extLst>
            <a:ext uri="{FF2B5EF4-FFF2-40B4-BE49-F238E27FC236}">
              <a16:creationId xmlns:a16="http://schemas.microsoft.com/office/drawing/2014/main" id="{970AD796-C752-4CEB-8EB4-93C69F3E9E7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694497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113</xdr:row>
      <xdr:rowOff>85725</xdr:rowOff>
    </xdr:from>
    <xdr:to>
      <xdr:col>8</xdr:col>
      <xdr:colOff>190500</xdr:colOff>
      <xdr:row>117</xdr:row>
      <xdr:rowOff>57150</xdr:rowOff>
    </xdr:to>
    <xdr:sp macro="" textlink="">
      <xdr:nvSpPr>
        <xdr:cNvPr id="114" name="AutoShape 113" descr="https://1portodos.com.br/ResidencialVillage/images/proibido-preto.svg">
          <a:extLst>
            <a:ext uri="{FF2B5EF4-FFF2-40B4-BE49-F238E27FC236}">
              <a16:creationId xmlns:a16="http://schemas.microsoft.com/office/drawing/2014/main" id="{2AC1DAE4-45A8-4922-8243-15E609CE1D7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7053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192</xdr:row>
      <xdr:rowOff>95250</xdr:rowOff>
    </xdr:from>
    <xdr:to>
      <xdr:col>8</xdr:col>
      <xdr:colOff>190500</xdr:colOff>
      <xdr:row>194</xdr:row>
      <xdr:rowOff>171450</xdr:rowOff>
    </xdr:to>
    <xdr:sp macro="" textlink="">
      <xdr:nvSpPr>
        <xdr:cNvPr id="115" name="AutoShape 114" descr="https://1portodos.com.br/ResidencialVillage/images/proibido-preto.svg">
          <a:extLst>
            <a:ext uri="{FF2B5EF4-FFF2-40B4-BE49-F238E27FC236}">
              <a16:creationId xmlns:a16="http://schemas.microsoft.com/office/drawing/2014/main" id="{E13BDD5E-C4FB-4EF4-A044-83E53F71CA6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43554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239</xdr:row>
      <xdr:rowOff>0</xdr:rowOff>
    </xdr:from>
    <xdr:to>
      <xdr:col>8</xdr:col>
      <xdr:colOff>190500</xdr:colOff>
      <xdr:row>240</xdr:row>
      <xdr:rowOff>142875</xdr:rowOff>
    </xdr:to>
    <xdr:sp macro="" textlink="">
      <xdr:nvSpPr>
        <xdr:cNvPr id="116" name="AutoShape 1" descr="https://1portodos.com.br/ResidencialVillage/images/proibido-preto.svg">
          <a:extLst>
            <a:ext uri="{FF2B5EF4-FFF2-40B4-BE49-F238E27FC236}">
              <a16:creationId xmlns:a16="http://schemas.microsoft.com/office/drawing/2014/main" id="{2D140E87-199D-494D-AEDD-8816B496EAE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4566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225</xdr:row>
      <xdr:rowOff>9525</xdr:rowOff>
    </xdr:from>
    <xdr:to>
      <xdr:col>8</xdr:col>
      <xdr:colOff>190500</xdr:colOff>
      <xdr:row>226</xdr:row>
      <xdr:rowOff>152400</xdr:rowOff>
    </xdr:to>
    <xdr:sp macro="" textlink="">
      <xdr:nvSpPr>
        <xdr:cNvPr id="117" name="AutoShape 2" descr="https://1portodos.com.br/ResidencialVillage/images/proibido-preto.svg">
          <a:extLst>
            <a:ext uri="{FF2B5EF4-FFF2-40B4-BE49-F238E27FC236}">
              <a16:creationId xmlns:a16="http://schemas.microsoft.com/office/drawing/2014/main" id="{A8F44E91-E3D0-4FE9-90E5-A197BE3A864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13944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214</xdr:row>
      <xdr:rowOff>19050</xdr:rowOff>
    </xdr:from>
    <xdr:to>
      <xdr:col>8</xdr:col>
      <xdr:colOff>190500</xdr:colOff>
      <xdr:row>215</xdr:row>
      <xdr:rowOff>152400</xdr:rowOff>
    </xdr:to>
    <xdr:sp macro="" textlink="">
      <xdr:nvSpPr>
        <xdr:cNvPr id="118" name="AutoShape 3" descr="https://1portodos.com.br/ResidencialVillage/images/proibido-preto.svg">
          <a:extLst>
            <a:ext uri="{FF2B5EF4-FFF2-40B4-BE49-F238E27FC236}">
              <a16:creationId xmlns:a16="http://schemas.microsoft.com/office/drawing/2014/main" id="{2874EFA0-275C-4223-88C2-179F8013F22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8470225"/>
          <a:ext cx="1905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255</xdr:row>
      <xdr:rowOff>28575</xdr:rowOff>
    </xdr:from>
    <xdr:to>
      <xdr:col>8</xdr:col>
      <xdr:colOff>190500</xdr:colOff>
      <xdr:row>256</xdr:row>
      <xdr:rowOff>152400</xdr:rowOff>
    </xdr:to>
    <xdr:sp macro="" textlink="">
      <xdr:nvSpPr>
        <xdr:cNvPr id="119" name="AutoShape 4" descr="https://1portodos.com.br/ResidencialVillage/images/proibido-preto.svg">
          <a:extLst>
            <a:ext uri="{FF2B5EF4-FFF2-40B4-BE49-F238E27FC236}">
              <a16:creationId xmlns:a16="http://schemas.microsoft.com/office/drawing/2014/main" id="{C628BF50-1FC0-41EA-88FA-4BF0FAEEEF1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8557200"/>
          <a:ext cx="1905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261</xdr:row>
      <xdr:rowOff>38100</xdr:rowOff>
    </xdr:from>
    <xdr:to>
      <xdr:col>8</xdr:col>
      <xdr:colOff>190500</xdr:colOff>
      <xdr:row>263</xdr:row>
      <xdr:rowOff>123825</xdr:rowOff>
    </xdr:to>
    <xdr:sp macro="" textlink="">
      <xdr:nvSpPr>
        <xdr:cNvPr id="120" name="AutoShape 5" descr="https://1portodos.com.br/ResidencialVillage/images/proibido-preto.svg">
          <a:extLst>
            <a:ext uri="{FF2B5EF4-FFF2-40B4-BE49-F238E27FC236}">
              <a16:creationId xmlns:a16="http://schemas.microsoft.com/office/drawing/2014/main" id="{F543AFFA-DC2D-44DA-A68A-38BEF566403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9843075"/>
          <a:ext cx="1905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274</xdr:row>
      <xdr:rowOff>47625</xdr:rowOff>
    </xdr:from>
    <xdr:to>
      <xdr:col>8</xdr:col>
      <xdr:colOff>190500</xdr:colOff>
      <xdr:row>276</xdr:row>
      <xdr:rowOff>133350</xdr:rowOff>
    </xdr:to>
    <xdr:sp macro="" textlink="">
      <xdr:nvSpPr>
        <xdr:cNvPr id="121" name="AutoShape 6" descr="https://1portodos.com.br/ResidencialVillage/images/proibido-preto.svg">
          <a:extLst>
            <a:ext uri="{FF2B5EF4-FFF2-40B4-BE49-F238E27FC236}">
              <a16:creationId xmlns:a16="http://schemas.microsoft.com/office/drawing/2014/main" id="{EDEBD76B-2F0E-40A4-87EB-B91D1048113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2519600"/>
          <a:ext cx="1905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264</xdr:row>
      <xdr:rowOff>57150</xdr:rowOff>
    </xdr:from>
    <xdr:to>
      <xdr:col>8</xdr:col>
      <xdr:colOff>190500</xdr:colOff>
      <xdr:row>266</xdr:row>
      <xdr:rowOff>9525</xdr:rowOff>
    </xdr:to>
    <xdr:sp macro="" textlink="">
      <xdr:nvSpPr>
        <xdr:cNvPr id="122" name="AutoShape 7" descr="https://1portodos.com.br/ResidencialVillage/images/proibido-preto.svg">
          <a:extLst>
            <a:ext uri="{FF2B5EF4-FFF2-40B4-BE49-F238E27FC236}">
              <a16:creationId xmlns:a16="http://schemas.microsoft.com/office/drawing/2014/main" id="{F271CE0F-9C06-4A18-8868-57F6ABEF960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0624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250</xdr:row>
      <xdr:rowOff>66675</xdr:rowOff>
    </xdr:from>
    <xdr:to>
      <xdr:col>8</xdr:col>
      <xdr:colOff>190500</xdr:colOff>
      <xdr:row>253</xdr:row>
      <xdr:rowOff>104775</xdr:rowOff>
    </xdr:to>
    <xdr:sp macro="" textlink="">
      <xdr:nvSpPr>
        <xdr:cNvPr id="123" name="AutoShape 8" descr="https://1portodos.com.br/ResidencialVillage/images/proibido-preto.svg">
          <a:extLst>
            <a:ext uri="{FF2B5EF4-FFF2-40B4-BE49-F238E27FC236}">
              <a16:creationId xmlns:a16="http://schemas.microsoft.com/office/drawing/2014/main" id="{FD8C570E-01D2-42E0-A535-C8969402047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7318950"/>
          <a:ext cx="1905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71</xdr:row>
      <xdr:rowOff>76200</xdr:rowOff>
    </xdr:from>
    <xdr:to>
      <xdr:col>8</xdr:col>
      <xdr:colOff>190500</xdr:colOff>
      <xdr:row>73</xdr:row>
      <xdr:rowOff>28575</xdr:rowOff>
    </xdr:to>
    <xdr:sp macro="" textlink="">
      <xdr:nvSpPr>
        <xdr:cNvPr id="124" name="AutoShape 9" descr="https://1portodos.com.br/ResidencialVillage/images/proibido-preto.svg">
          <a:extLst>
            <a:ext uri="{FF2B5EF4-FFF2-40B4-BE49-F238E27FC236}">
              <a16:creationId xmlns:a16="http://schemas.microsoft.com/office/drawing/2014/main" id="{D44CCCFE-E197-4605-9FF9-DEB07C57B0A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6242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95</xdr:row>
      <xdr:rowOff>85725</xdr:rowOff>
    </xdr:from>
    <xdr:to>
      <xdr:col>8</xdr:col>
      <xdr:colOff>190500</xdr:colOff>
      <xdr:row>97</xdr:row>
      <xdr:rowOff>38100</xdr:rowOff>
    </xdr:to>
    <xdr:sp macro="" textlink="">
      <xdr:nvSpPr>
        <xdr:cNvPr id="125" name="AutoShape 10" descr="https://1portodos.com.br/ResidencialVillage/images/proibido-preto.svg">
          <a:extLst>
            <a:ext uri="{FF2B5EF4-FFF2-40B4-BE49-F238E27FC236}">
              <a16:creationId xmlns:a16="http://schemas.microsoft.com/office/drawing/2014/main" id="{6FA0D283-8B0D-44A7-A198-7ABA6524ACE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92989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233</xdr:row>
      <xdr:rowOff>95250</xdr:rowOff>
    </xdr:from>
    <xdr:to>
      <xdr:col>8</xdr:col>
      <xdr:colOff>190500</xdr:colOff>
      <xdr:row>236</xdr:row>
      <xdr:rowOff>0</xdr:rowOff>
    </xdr:to>
    <xdr:sp macro="" textlink="">
      <xdr:nvSpPr>
        <xdr:cNvPr id="126" name="AutoShape 11" descr="https://1portodos.com.br/ResidencialVillage/images/proibido-preto.svg">
          <a:extLst>
            <a:ext uri="{FF2B5EF4-FFF2-40B4-BE49-F238E27FC236}">
              <a16:creationId xmlns:a16="http://schemas.microsoft.com/office/drawing/2014/main" id="{10903B36-C269-46A1-BCAA-AD42E2FAC56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3194625"/>
          <a:ext cx="1905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268</xdr:row>
      <xdr:rowOff>104775</xdr:rowOff>
    </xdr:from>
    <xdr:to>
      <xdr:col>8</xdr:col>
      <xdr:colOff>190500</xdr:colOff>
      <xdr:row>271</xdr:row>
      <xdr:rowOff>142875</xdr:rowOff>
    </xdr:to>
    <xdr:sp macro="" textlink="">
      <xdr:nvSpPr>
        <xdr:cNvPr id="127" name="AutoShape 12" descr="https://1portodos.com.br/ResidencialVillage/images/proibido-preto.svg">
          <a:extLst>
            <a:ext uri="{FF2B5EF4-FFF2-40B4-BE49-F238E27FC236}">
              <a16:creationId xmlns:a16="http://schemas.microsoft.com/office/drawing/2014/main" id="{3B4BD274-8603-4844-9D26-C3B024EF7E4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1433750"/>
          <a:ext cx="1905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272</xdr:row>
      <xdr:rowOff>114300</xdr:rowOff>
    </xdr:from>
    <xdr:to>
      <xdr:col>8</xdr:col>
      <xdr:colOff>190500</xdr:colOff>
      <xdr:row>275</xdr:row>
      <xdr:rowOff>152400</xdr:rowOff>
    </xdr:to>
    <xdr:sp macro="" textlink="">
      <xdr:nvSpPr>
        <xdr:cNvPr id="128" name="AutoShape 13" descr="https://1portodos.com.br/ResidencialVillage/images/proibido-preto.svg">
          <a:extLst>
            <a:ext uri="{FF2B5EF4-FFF2-40B4-BE49-F238E27FC236}">
              <a16:creationId xmlns:a16="http://schemas.microsoft.com/office/drawing/2014/main" id="{A33F648D-AB43-4DCF-B2D8-2B2EEB899CB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2205275"/>
          <a:ext cx="1905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94</xdr:row>
      <xdr:rowOff>123825</xdr:rowOff>
    </xdr:from>
    <xdr:to>
      <xdr:col>8</xdr:col>
      <xdr:colOff>190500</xdr:colOff>
      <xdr:row>95</xdr:row>
      <xdr:rowOff>152400</xdr:rowOff>
    </xdr:to>
    <xdr:sp macro="" textlink="">
      <xdr:nvSpPr>
        <xdr:cNvPr id="129" name="AutoShape 14" descr="https://1portodos.com.br/ResidencialVillage/images/proibido-preto.svg">
          <a:extLst>
            <a:ext uri="{FF2B5EF4-FFF2-40B4-BE49-F238E27FC236}">
              <a16:creationId xmlns:a16="http://schemas.microsoft.com/office/drawing/2014/main" id="{874144C6-1F45-4623-99FC-5A844152FC7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8956000"/>
          <a:ext cx="1905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240</xdr:row>
      <xdr:rowOff>133350</xdr:rowOff>
    </xdr:from>
    <xdr:to>
      <xdr:col>8</xdr:col>
      <xdr:colOff>190500</xdr:colOff>
      <xdr:row>242</xdr:row>
      <xdr:rowOff>85725</xdr:rowOff>
    </xdr:to>
    <xdr:sp macro="" textlink="">
      <xdr:nvSpPr>
        <xdr:cNvPr id="130" name="AutoShape 15" descr="https://1portodos.com.br/ResidencialVillage/images/proibido-preto.svg">
          <a:extLst>
            <a:ext uri="{FF2B5EF4-FFF2-40B4-BE49-F238E27FC236}">
              <a16:creationId xmlns:a16="http://schemas.microsoft.com/office/drawing/2014/main" id="{2E04D0D6-EFD0-4A35-BF62-FA4FB99ACA6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48900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257</xdr:row>
      <xdr:rowOff>142875</xdr:rowOff>
    </xdr:from>
    <xdr:to>
      <xdr:col>8</xdr:col>
      <xdr:colOff>190500</xdr:colOff>
      <xdr:row>259</xdr:row>
      <xdr:rowOff>95250</xdr:rowOff>
    </xdr:to>
    <xdr:sp macro="" textlink="">
      <xdr:nvSpPr>
        <xdr:cNvPr id="131" name="AutoShape 16" descr="https://1portodos.com.br/ResidencialVillage/images/proibido-preto.svg">
          <a:extLst>
            <a:ext uri="{FF2B5EF4-FFF2-40B4-BE49-F238E27FC236}">
              <a16:creationId xmlns:a16="http://schemas.microsoft.com/office/drawing/2014/main" id="{4936037A-F0A8-4BAB-90B5-67477EE6B50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90525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211</xdr:row>
      <xdr:rowOff>152400</xdr:rowOff>
    </xdr:from>
    <xdr:to>
      <xdr:col>8</xdr:col>
      <xdr:colOff>190500</xdr:colOff>
      <xdr:row>213</xdr:row>
      <xdr:rowOff>104775</xdr:rowOff>
    </xdr:to>
    <xdr:sp macro="" textlink="">
      <xdr:nvSpPr>
        <xdr:cNvPr id="132" name="AutoShape 17" descr="https://1portodos.com.br/ResidencialVillage/images/proibido-preto.svg">
          <a:extLst>
            <a:ext uri="{FF2B5EF4-FFF2-40B4-BE49-F238E27FC236}">
              <a16:creationId xmlns:a16="http://schemas.microsoft.com/office/drawing/2014/main" id="{92CF5706-607A-402F-ABF8-9BCDD9638C4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80320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220</xdr:row>
      <xdr:rowOff>161925</xdr:rowOff>
    </xdr:from>
    <xdr:to>
      <xdr:col>8</xdr:col>
      <xdr:colOff>190500</xdr:colOff>
      <xdr:row>221</xdr:row>
      <xdr:rowOff>304800</xdr:rowOff>
    </xdr:to>
    <xdr:sp macro="" textlink="">
      <xdr:nvSpPr>
        <xdr:cNvPr id="133" name="AutoShape 18" descr="https://1portodos.com.br/ResidencialVillage/images/proibido-preto.svg">
          <a:extLst>
            <a:ext uri="{FF2B5EF4-FFF2-40B4-BE49-F238E27FC236}">
              <a16:creationId xmlns:a16="http://schemas.microsoft.com/office/drawing/2014/main" id="{392CD7D8-ED94-47BE-884A-353C5A5BBDC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03276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</xdr:row>
      <xdr:rowOff>171450</xdr:rowOff>
    </xdr:from>
    <xdr:to>
      <xdr:col>8</xdr:col>
      <xdr:colOff>190500</xdr:colOff>
      <xdr:row>29</xdr:row>
      <xdr:rowOff>180975</xdr:rowOff>
    </xdr:to>
    <xdr:sp macro="" textlink="">
      <xdr:nvSpPr>
        <xdr:cNvPr id="134" name="AutoShape 19" descr="https://1portodos.com.br/ResidencialVillage/images/proibido-preto.svg">
          <a:extLst>
            <a:ext uri="{FF2B5EF4-FFF2-40B4-BE49-F238E27FC236}">
              <a16:creationId xmlns:a16="http://schemas.microsoft.com/office/drawing/2014/main" id="{D038016A-E950-46FD-B287-C66476CD5F2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4872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242</xdr:row>
      <xdr:rowOff>180975</xdr:rowOff>
    </xdr:from>
    <xdr:to>
      <xdr:col>8</xdr:col>
      <xdr:colOff>190500</xdr:colOff>
      <xdr:row>244</xdr:row>
      <xdr:rowOff>0</xdr:rowOff>
    </xdr:to>
    <xdr:sp macro="" textlink="">
      <xdr:nvSpPr>
        <xdr:cNvPr id="135" name="AutoShape 20" descr="https://1portodos.com.br/ResidencialVillage/images/proibido-preto.svg">
          <a:extLst>
            <a:ext uri="{FF2B5EF4-FFF2-40B4-BE49-F238E27FC236}">
              <a16:creationId xmlns:a16="http://schemas.microsoft.com/office/drawing/2014/main" id="{486760BB-96A4-4A85-A0C1-15722C4A0EC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53187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234</xdr:row>
      <xdr:rowOff>190500</xdr:rowOff>
    </xdr:from>
    <xdr:to>
      <xdr:col>8</xdr:col>
      <xdr:colOff>190500</xdr:colOff>
      <xdr:row>235</xdr:row>
      <xdr:rowOff>200025</xdr:rowOff>
    </xdr:to>
    <xdr:sp macro="" textlink="">
      <xdr:nvSpPr>
        <xdr:cNvPr id="136" name="AutoShape 21" descr="https://1portodos.com.br/ResidencialVillage/images/proibido-preto.svg">
          <a:extLst>
            <a:ext uri="{FF2B5EF4-FFF2-40B4-BE49-F238E27FC236}">
              <a16:creationId xmlns:a16="http://schemas.microsoft.com/office/drawing/2014/main" id="{0F195B30-44C6-4A6B-BFDC-C07B35554EB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36708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223</xdr:row>
      <xdr:rowOff>200025</xdr:rowOff>
    </xdr:from>
    <xdr:to>
      <xdr:col>8</xdr:col>
      <xdr:colOff>190500</xdr:colOff>
      <xdr:row>228</xdr:row>
      <xdr:rowOff>19050</xdr:rowOff>
    </xdr:to>
    <xdr:sp macro="" textlink="">
      <xdr:nvSpPr>
        <xdr:cNvPr id="137" name="AutoShape 22" descr="https://1portodos.com.br/ResidencialVillage/images/proibido-preto.svg">
          <a:extLst>
            <a:ext uri="{FF2B5EF4-FFF2-40B4-BE49-F238E27FC236}">
              <a16:creationId xmlns:a16="http://schemas.microsoft.com/office/drawing/2014/main" id="{88621D45-7345-41A7-B70C-2E0A4A15EB2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1070550"/>
          <a:ext cx="19050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216</xdr:row>
      <xdr:rowOff>209550</xdr:rowOff>
    </xdr:from>
    <xdr:to>
      <xdr:col>8</xdr:col>
      <xdr:colOff>190500</xdr:colOff>
      <xdr:row>219</xdr:row>
      <xdr:rowOff>76200</xdr:rowOff>
    </xdr:to>
    <xdr:sp macro="" textlink="">
      <xdr:nvSpPr>
        <xdr:cNvPr id="138" name="AutoShape 23" descr="https://1portodos.com.br/ResidencialVillage/images/proibido-preto.svg">
          <a:extLst>
            <a:ext uri="{FF2B5EF4-FFF2-40B4-BE49-F238E27FC236}">
              <a16:creationId xmlns:a16="http://schemas.microsoft.com/office/drawing/2014/main" id="{0D0D501C-EAE1-41E6-ACE8-97AB1152885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9594175"/>
          <a:ext cx="190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221</xdr:row>
      <xdr:rowOff>219075</xdr:rowOff>
    </xdr:from>
    <xdr:to>
      <xdr:col>8</xdr:col>
      <xdr:colOff>190500</xdr:colOff>
      <xdr:row>223</xdr:row>
      <xdr:rowOff>152400</xdr:rowOff>
    </xdr:to>
    <xdr:sp macro="" textlink="">
      <xdr:nvSpPr>
        <xdr:cNvPr id="139" name="AutoShape 24" descr="https://1portodos.com.br/ResidencialVillage/images/proibido-preto.svg">
          <a:extLst>
            <a:ext uri="{FF2B5EF4-FFF2-40B4-BE49-F238E27FC236}">
              <a16:creationId xmlns:a16="http://schemas.microsoft.com/office/drawing/2014/main" id="{93D52179-439A-4138-B3FF-F465C2CE66E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0575250"/>
          <a:ext cx="1905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228</xdr:row>
      <xdr:rowOff>228600</xdr:rowOff>
    </xdr:from>
    <xdr:to>
      <xdr:col>8</xdr:col>
      <xdr:colOff>190500</xdr:colOff>
      <xdr:row>231</xdr:row>
      <xdr:rowOff>161925</xdr:rowOff>
    </xdr:to>
    <xdr:sp macro="" textlink="">
      <xdr:nvSpPr>
        <xdr:cNvPr id="140" name="AutoShape 25" descr="https://1portodos.com.br/ResidencialVillage/images/proibido-preto.svg">
          <a:extLst>
            <a:ext uri="{FF2B5EF4-FFF2-40B4-BE49-F238E27FC236}">
              <a16:creationId xmlns:a16="http://schemas.microsoft.com/office/drawing/2014/main" id="{F43C8BF1-24F3-4445-984F-122ECE74637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2337375"/>
          <a:ext cx="19050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271</xdr:row>
      <xdr:rowOff>238125</xdr:rowOff>
    </xdr:from>
    <xdr:to>
      <xdr:col>8</xdr:col>
      <xdr:colOff>190500</xdr:colOff>
      <xdr:row>274</xdr:row>
      <xdr:rowOff>142875</xdr:rowOff>
    </xdr:to>
    <xdr:sp macro="" textlink="">
      <xdr:nvSpPr>
        <xdr:cNvPr id="141" name="AutoShape 26" descr="https://1portodos.com.br/ResidencialVillage/images/proibido-preto.svg">
          <a:extLst>
            <a:ext uri="{FF2B5EF4-FFF2-40B4-BE49-F238E27FC236}">
              <a16:creationId xmlns:a16="http://schemas.microsoft.com/office/drawing/2014/main" id="{A40622CC-8D34-49D1-B002-5F7F2AC7BF5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2090975"/>
          <a:ext cx="1905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247650</xdr:rowOff>
    </xdr:from>
    <xdr:to>
      <xdr:col>8</xdr:col>
      <xdr:colOff>190500</xdr:colOff>
      <xdr:row>78</xdr:row>
      <xdr:rowOff>123825</xdr:rowOff>
    </xdr:to>
    <xdr:sp macro="" textlink="">
      <xdr:nvSpPr>
        <xdr:cNvPr id="142" name="AutoShape 27" descr="https://1portodos.com.br/ResidencialVillage/images/proibido-preto.svg">
          <a:extLst>
            <a:ext uri="{FF2B5EF4-FFF2-40B4-BE49-F238E27FC236}">
              <a16:creationId xmlns:a16="http://schemas.microsoft.com/office/drawing/2014/main" id="{1724B48D-A29D-4DE1-8055-AB3AE3F7105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4510325"/>
          <a:ext cx="19050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204</xdr:row>
      <xdr:rowOff>257175</xdr:rowOff>
    </xdr:from>
    <xdr:to>
      <xdr:col>8</xdr:col>
      <xdr:colOff>190500</xdr:colOff>
      <xdr:row>207</xdr:row>
      <xdr:rowOff>28575</xdr:rowOff>
    </xdr:to>
    <xdr:sp macro="" textlink="">
      <xdr:nvSpPr>
        <xdr:cNvPr id="143" name="AutoShape 28" descr="https://1portodos.com.br/ResidencialVillage/images/proibido-preto.svg">
          <a:extLst>
            <a:ext uri="{FF2B5EF4-FFF2-40B4-BE49-F238E27FC236}">
              <a16:creationId xmlns:a16="http://schemas.microsoft.com/office/drawing/2014/main" id="{BF006229-ADC7-4D74-B150-98CC07F8591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6736675"/>
          <a:ext cx="1905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254</xdr:row>
      <xdr:rowOff>266700</xdr:rowOff>
    </xdr:from>
    <xdr:to>
      <xdr:col>8</xdr:col>
      <xdr:colOff>190500</xdr:colOff>
      <xdr:row>256</xdr:row>
      <xdr:rowOff>152400</xdr:rowOff>
    </xdr:to>
    <xdr:sp macro="" textlink="">
      <xdr:nvSpPr>
        <xdr:cNvPr id="144" name="AutoShape 29" descr="https://1portodos.com.br/ResidencialVillage/images/proibido-preto.svg">
          <a:extLst>
            <a:ext uri="{FF2B5EF4-FFF2-40B4-BE49-F238E27FC236}">
              <a16:creationId xmlns:a16="http://schemas.microsoft.com/office/drawing/2014/main" id="{02605D55-0EB3-4A29-9B4E-064825E110E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8280975"/>
          <a:ext cx="1905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275</xdr:row>
      <xdr:rowOff>276225</xdr:rowOff>
    </xdr:from>
    <xdr:to>
      <xdr:col>8</xdr:col>
      <xdr:colOff>190500</xdr:colOff>
      <xdr:row>278</xdr:row>
      <xdr:rowOff>9525</xdr:rowOff>
    </xdr:to>
    <xdr:sp macro="" textlink="">
      <xdr:nvSpPr>
        <xdr:cNvPr id="145" name="AutoShape 30" descr="https://1portodos.com.br/ResidencialVillage/images/proibido-preto.svg">
          <a:extLst>
            <a:ext uri="{FF2B5EF4-FFF2-40B4-BE49-F238E27FC236}">
              <a16:creationId xmlns:a16="http://schemas.microsoft.com/office/drawing/2014/main" id="{0DF91FDF-D426-4656-B522-5052349A06A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2852975"/>
          <a:ext cx="1905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282</xdr:row>
      <xdr:rowOff>285750</xdr:rowOff>
    </xdr:from>
    <xdr:to>
      <xdr:col>8</xdr:col>
      <xdr:colOff>190500</xdr:colOff>
      <xdr:row>285</xdr:row>
      <xdr:rowOff>0</xdr:rowOff>
    </xdr:to>
    <xdr:sp macro="" textlink="">
      <xdr:nvSpPr>
        <xdr:cNvPr id="146" name="AutoShape 31" descr="https://1portodos.com.br/ResidencialVillage/images/proibido-preto.svg">
          <a:extLst>
            <a:ext uri="{FF2B5EF4-FFF2-40B4-BE49-F238E27FC236}">
              <a16:creationId xmlns:a16="http://schemas.microsoft.com/office/drawing/2014/main" id="{8FB928DD-1093-4849-96F0-3B2A90F32D8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5462825"/>
          <a:ext cx="190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208</xdr:row>
      <xdr:rowOff>295275</xdr:rowOff>
    </xdr:from>
    <xdr:to>
      <xdr:col>8</xdr:col>
      <xdr:colOff>190500</xdr:colOff>
      <xdr:row>210</xdr:row>
      <xdr:rowOff>0</xdr:rowOff>
    </xdr:to>
    <xdr:sp macro="" textlink="">
      <xdr:nvSpPr>
        <xdr:cNvPr id="147" name="AutoShape 32" descr="https://1portodos.com.br/ResidencialVillage/images/proibido-preto.svg">
          <a:extLst>
            <a:ext uri="{FF2B5EF4-FFF2-40B4-BE49-F238E27FC236}">
              <a16:creationId xmlns:a16="http://schemas.microsoft.com/office/drawing/2014/main" id="{32193BEB-99F1-4ACC-9C21-5A32BEA2D9E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74986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247</xdr:row>
      <xdr:rowOff>304800</xdr:rowOff>
    </xdr:from>
    <xdr:to>
      <xdr:col>8</xdr:col>
      <xdr:colOff>190500</xdr:colOff>
      <xdr:row>250</xdr:row>
      <xdr:rowOff>9525</xdr:rowOff>
    </xdr:to>
    <xdr:sp macro="" textlink="">
      <xdr:nvSpPr>
        <xdr:cNvPr id="148" name="AutoShape 33" descr="https://1portodos.com.br/ResidencialVillage/images/proibido-preto.svg">
          <a:extLst>
            <a:ext uri="{FF2B5EF4-FFF2-40B4-BE49-F238E27FC236}">
              <a16:creationId xmlns:a16="http://schemas.microsoft.com/office/drawing/2014/main" id="{ACB7673D-C737-4073-ACAD-1C024252AA0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6871275"/>
          <a:ext cx="1905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219</xdr:row>
      <xdr:rowOff>314325</xdr:rowOff>
    </xdr:from>
    <xdr:to>
      <xdr:col>8</xdr:col>
      <xdr:colOff>190500</xdr:colOff>
      <xdr:row>221</xdr:row>
      <xdr:rowOff>180975</xdr:rowOff>
    </xdr:to>
    <xdr:sp macro="" textlink="">
      <xdr:nvSpPr>
        <xdr:cNvPr id="149" name="AutoShape 34" descr="https://1portodos.com.br/ResidencialVillage/images/proibido-preto.svg">
          <a:extLst>
            <a:ext uri="{FF2B5EF4-FFF2-40B4-BE49-F238E27FC236}">
              <a16:creationId xmlns:a16="http://schemas.microsoft.com/office/drawing/2014/main" id="{1F6B93A8-A16A-433B-A639-2C771161F35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0165675"/>
          <a:ext cx="1905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229</xdr:row>
      <xdr:rowOff>323850</xdr:rowOff>
    </xdr:from>
    <xdr:to>
      <xdr:col>8</xdr:col>
      <xdr:colOff>190500</xdr:colOff>
      <xdr:row>231</xdr:row>
      <xdr:rowOff>0</xdr:rowOff>
    </xdr:to>
    <xdr:sp macro="" textlink="">
      <xdr:nvSpPr>
        <xdr:cNvPr id="150" name="AutoShape 35" descr="https://1portodos.com.br/ResidencialVillage/images/proibido-preto.svg">
          <a:extLst>
            <a:ext uri="{FF2B5EF4-FFF2-40B4-BE49-F238E27FC236}">
              <a16:creationId xmlns:a16="http://schemas.microsoft.com/office/drawing/2014/main" id="{B1747458-FC02-45DB-904D-9BD9921CB68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252787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232</xdr:row>
      <xdr:rowOff>333375</xdr:rowOff>
    </xdr:from>
    <xdr:to>
      <xdr:col>8</xdr:col>
      <xdr:colOff>190500</xdr:colOff>
      <xdr:row>234</xdr:row>
      <xdr:rowOff>142875</xdr:rowOff>
    </xdr:to>
    <xdr:sp macro="" textlink="">
      <xdr:nvSpPr>
        <xdr:cNvPr id="151" name="AutoShape 36" descr="https://1portodos.com.br/ResidencialVillage/images/proibido-preto.svg">
          <a:extLst>
            <a:ext uri="{FF2B5EF4-FFF2-40B4-BE49-F238E27FC236}">
              <a16:creationId xmlns:a16="http://schemas.microsoft.com/office/drawing/2014/main" id="{A888210D-0DDA-4094-B2C9-EF251D39ADA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3099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210</xdr:row>
      <xdr:rowOff>342900</xdr:rowOff>
    </xdr:from>
    <xdr:to>
      <xdr:col>8</xdr:col>
      <xdr:colOff>190500</xdr:colOff>
      <xdr:row>212</xdr:row>
      <xdr:rowOff>142875</xdr:rowOff>
    </xdr:to>
    <xdr:sp macro="" textlink="">
      <xdr:nvSpPr>
        <xdr:cNvPr id="152" name="AutoShape 37" descr="https://1portodos.com.br/ResidencialVillage/images/proibido-preto.svg">
          <a:extLst>
            <a:ext uri="{FF2B5EF4-FFF2-40B4-BE49-F238E27FC236}">
              <a16:creationId xmlns:a16="http://schemas.microsoft.com/office/drawing/2014/main" id="{C9C5EBD0-2F23-4C47-9940-3A6F996EDCE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7879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207</xdr:row>
      <xdr:rowOff>352425</xdr:rowOff>
    </xdr:from>
    <xdr:to>
      <xdr:col>8</xdr:col>
      <xdr:colOff>190500</xdr:colOff>
      <xdr:row>209</xdr:row>
      <xdr:rowOff>142875</xdr:rowOff>
    </xdr:to>
    <xdr:sp macro="" textlink="">
      <xdr:nvSpPr>
        <xdr:cNvPr id="153" name="AutoShape 38" descr="https://1portodos.com.br/ResidencialVillage/images/proibido-preto.svg">
          <a:extLst>
            <a:ext uri="{FF2B5EF4-FFF2-40B4-BE49-F238E27FC236}">
              <a16:creationId xmlns:a16="http://schemas.microsoft.com/office/drawing/2014/main" id="{D2E51B11-C9D1-4F16-AB25-CE8EDEF3039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7308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217</xdr:row>
      <xdr:rowOff>361950</xdr:rowOff>
    </xdr:from>
    <xdr:to>
      <xdr:col>8</xdr:col>
      <xdr:colOff>190500</xdr:colOff>
      <xdr:row>219</xdr:row>
      <xdr:rowOff>142875</xdr:rowOff>
    </xdr:to>
    <xdr:sp macro="" textlink="">
      <xdr:nvSpPr>
        <xdr:cNvPr id="154" name="AutoShape 39" descr="https://1portodos.com.br/ResidencialVillage/images/proibido-preto.svg">
          <a:extLst>
            <a:ext uri="{FF2B5EF4-FFF2-40B4-BE49-F238E27FC236}">
              <a16:creationId xmlns:a16="http://schemas.microsoft.com/office/drawing/2014/main" id="{6F1DA6C4-0807-49F2-84CD-BDF821529E4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9784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74</xdr:row>
      <xdr:rowOff>371475</xdr:rowOff>
    </xdr:from>
    <xdr:to>
      <xdr:col>8</xdr:col>
      <xdr:colOff>190500</xdr:colOff>
      <xdr:row>76</xdr:row>
      <xdr:rowOff>142875</xdr:rowOff>
    </xdr:to>
    <xdr:sp macro="" textlink="">
      <xdr:nvSpPr>
        <xdr:cNvPr id="155" name="AutoShape 40" descr="https://1portodos.com.br/ResidencialVillage/images/proibido-preto.svg">
          <a:extLst>
            <a:ext uri="{FF2B5EF4-FFF2-40B4-BE49-F238E27FC236}">
              <a16:creationId xmlns:a16="http://schemas.microsoft.com/office/drawing/2014/main" id="{CA3CCCEF-5313-431E-98F6-F023125FE9E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37483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205</xdr:row>
      <xdr:rowOff>381000</xdr:rowOff>
    </xdr:from>
    <xdr:to>
      <xdr:col>8</xdr:col>
      <xdr:colOff>190500</xdr:colOff>
      <xdr:row>207</xdr:row>
      <xdr:rowOff>142875</xdr:rowOff>
    </xdr:to>
    <xdr:sp macro="" textlink="">
      <xdr:nvSpPr>
        <xdr:cNvPr id="156" name="AutoShape 41" descr="https://1portodos.com.br/ResidencialVillage/images/proibido-preto.svg">
          <a:extLst>
            <a:ext uri="{FF2B5EF4-FFF2-40B4-BE49-F238E27FC236}">
              <a16:creationId xmlns:a16="http://schemas.microsoft.com/office/drawing/2014/main" id="{15AAA9FE-65C7-4501-9EE3-B419CD97BDF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6927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267</xdr:row>
      <xdr:rowOff>390525</xdr:rowOff>
    </xdr:from>
    <xdr:to>
      <xdr:col>8</xdr:col>
      <xdr:colOff>190500</xdr:colOff>
      <xdr:row>269</xdr:row>
      <xdr:rowOff>142875</xdr:rowOff>
    </xdr:to>
    <xdr:sp macro="" textlink="">
      <xdr:nvSpPr>
        <xdr:cNvPr id="157" name="AutoShape 42" descr="https://1portodos.com.br/ResidencialVillage/images/proibido-preto.svg">
          <a:extLst>
            <a:ext uri="{FF2B5EF4-FFF2-40B4-BE49-F238E27FC236}">
              <a16:creationId xmlns:a16="http://schemas.microsoft.com/office/drawing/2014/main" id="{E057FB0B-26E8-4F8A-9614-8BEAFB3095A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1328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</xdr:row>
      <xdr:rowOff>400050</xdr:rowOff>
    </xdr:from>
    <xdr:to>
      <xdr:col>8</xdr:col>
      <xdr:colOff>190500</xdr:colOff>
      <xdr:row>29</xdr:row>
      <xdr:rowOff>142875</xdr:rowOff>
    </xdr:to>
    <xdr:sp macro="" textlink="">
      <xdr:nvSpPr>
        <xdr:cNvPr id="158" name="AutoShape 43" descr="https://1portodos.com.br/ResidencialVillage/images/proibido-preto.svg">
          <a:extLst>
            <a:ext uri="{FF2B5EF4-FFF2-40B4-BE49-F238E27FC236}">
              <a16:creationId xmlns:a16="http://schemas.microsoft.com/office/drawing/2014/main" id="{FA839409-7E30-48A7-BB9D-42D2023E1E1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0185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248</xdr:row>
      <xdr:rowOff>409575</xdr:rowOff>
    </xdr:from>
    <xdr:to>
      <xdr:col>8</xdr:col>
      <xdr:colOff>190500</xdr:colOff>
      <xdr:row>250</xdr:row>
      <xdr:rowOff>142875</xdr:rowOff>
    </xdr:to>
    <xdr:sp macro="" textlink="">
      <xdr:nvSpPr>
        <xdr:cNvPr id="159" name="AutoShape 44" descr="https://1portodos.com.br/ResidencialVillage/images/proibido-preto.svg">
          <a:extLst>
            <a:ext uri="{FF2B5EF4-FFF2-40B4-BE49-F238E27FC236}">
              <a16:creationId xmlns:a16="http://schemas.microsoft.com/office/drawing/2014/main" id="{7281B4DF-7857-48DC-B482-0D90AFBAD96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7061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97</xdr:row>
      <xdr:rowOff>419100</xdr:rowOff>
    </xdr:from>
    <xdr:to>
      <xdr:col>8</xdr:col>
      <xdr:colOff>190500</xdr:colOff>
      <xdr:row>99</xdr:row>
      <xdr:rowOff>142875</xdr:rowOff>
    </xdr:to>
    <xdr:sp macro="" textlink="">
      <xdr:nvSpPr>
        <xdr:cNvPr id="160" name="AutoShape 45" descr="https://1portodos.com.br/ResidencialVillage/images/proibido-preto.svg">
          <a:extLst>
            <a:ext uri="{FF2B5EF4-FFF2-40B4-BE49-F238E27FC236}">
              <a16:creationId xmlns:a16="http://schemas.microsoft.com/office/drawing/2014/main" id="{A8857636-FACD-47FA-84E1-9FB64AFEF73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50818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258</xdr:row>
      <xdr:rowOff>428625</xdr:rowOff>
    </xdr:from>
    <xdr:to>
      <xdr:col>8</xdr:col>
      <xdr:colOff>190500</xdr:colOff>
      <xdr:row>260</xdr:row>
      <xdr:rowOff>142875</xdr:rowOff>
    </xdr:to>
    <xdr:sp macro="" textlink="">
      <xdr:nvSpPr>
        <xdr:cNvPr id="161" name="AutoShape 46" descr="https://1portodos.com.br/ResidencialVillage/images/proibido-preto.svg">
          <a:extLst>
            <a:ext uri="{FF2B5EF4-FFF2-40B4-BE49-F238E27FC236}">
              <a16:creationId xmlns:a16="http://schemas.microsoft.com/office/drawing/2014/main" id="{D67D1B13-E740-4B2C-BC0B-1FEE759227D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9290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262</xdr:row>
      <xdr:rowOff>438150</xdr:rowOff>
    </xdr:from>
    <xdr:to>
      <xdr:col>8</xdr:col>
      <xdr:colOff>190500</xdr:colOff>
      <xdr:row>264</xdr:row>
      <xdr:rowOff>142875</xdr:rowOff>
    </xdr:to>
    <xdr:sp macro="" textlink="">
      <xdr:nvSpPr>
        <xdr:cNvPr id="162" name="AutoShape 47" descr="https://1portodos.com.br/ResidencialVillage/images/proibido-preto.svg">
          <a:extLst>
            <a:ext uri="{FF2B5EF4-FFF2-40B4-BE49-F238E27FC236}">
              <a16:creationId xmlns:a16="http://schemas.microsoft.com/office/drawing/2014/main" id="{AE77F9CA-C46C-419E-A10F-3A527CE82D3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0376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263</xdr:row>
      <xdr:rowOff>447675</xdr:rowOff>
    </xdr:from>
    <xdr:to>
      <xdr:col>8</xdr:col>
      <xdr:colOff>190500</xdr:colOff>
      <xdr:row>265</xdr:row>
      <xdr:rowOff>142875</xdr:rowOff>
    </xdr:to>
    <xdr:sp macro="" textlink="">
      <xdr:nvSpPr>
        <xdr:cNvPr id="163" name="AutoShape 48" descr="https://1portodos.com.br/ResidencialVillage/images/proibido-preto.svg">
          <a:extLst>
            <a:ext uri="{FF2B5EF4-FFF2-40B4-BE49-F238E27FC236}">
              <a16:creationId xmlns:a16="http://schemas.microsoft.com/office/drawing/2014/main" id="{D4DAD1C1-7655-485B-80B7-1C828AE0A70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0566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256</xdr:row>
      <xdr:rowOff>457200</xdr:rowOff>
    </xdr:from>
    <xdr:to>
      <xdr:col>8</xdr:col>
      <xdr:colOff>190500</xdr:colOff>
      <xdr:row>258</xdr:row>
      <xdr:rowOff>142875</xdr:rowOff>
    </xdr:to>
    <xdr:sp macro="" textlink="">
      <xdr:nvSpPr>
        <xdr:cNvPr id="164" name="AutoShape 49" descr="https://1portodos.com.br/ResidencialVillage/images/proibido-preto.svg">
          <a:extLst>
            <a:ext uri="{FF2B5EF4-FFF2-40B4-BE49-F238E27FC236}">
              <a16:creationId xmlns:a16="http://schemas.microsoft.com/office/drawing/2014/main" id="{C4C38C29-44B9-4ED6-8C74-6DC727BD749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8909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196</xdr:row>
      <xdr:rowOff>466725</xdr:rowOff>
    </xdr:from>
    <xdr:to>
      <xdr:col>8</xdr:col>
      <xdr:colOff>190500</xdr:colOff>
      <xdr:row>200</xdr:row>
      <xdr:rowOff>28575</xdr:rowOff>
    </xdr:to>
    <xdr:sp macro="" textlink="">
      <xdr:nvSpPr>
        <xdr:cNvPr id="165" name="AutoShape 50" descr="https://1portodos.com.br/ResidencialVillage/images/proibido-preto.svg">
          <a:extLst>
            <a:ext uri="{FF2B5EF4-FFF2-40B4-BE49-F238E27FC236}">
              <a16:creationId xmlns:a16="http://schemas.microsoft.com/office/drawing/2014/main" id="{09A4E84C-DBFD-4B88-9A83-479DD45E592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5212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265</xdr:row>
      <xdr:rowOff>476250</xdr:rowOff>
    </xdr:from>
    <xdr:to>
      <xdr:col>8</xdr:col>
      <xdr:colOff>190500</xdr:colOff>
      <xdr:row>267</xdr:row>
      <xdr:rowOff>142875</xdr:rowOff>
    </xdr:to>
    <xdr:sp macro="" textlink="">
      <xdr:nvSpPr>
        <xdr:cNvPr id="166" name="AutoShape 51" descr="https://1portodos.com.br/ResidencialVillage/images/proibido-preto.svg">
          <a:extLst>
            <a:ext uri="{FF2B5EF4-FFF2-40B4-BE49-F238E27FC236}">
              <a16:creationId xmlns:a16="http://schemas.microsoft.com/office/drawing/2014/main" id="{30B057FC-9D84-461A-BEC9-EEA59D25AF6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0947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253</xdr:row>
      <xdr:rowOff>485775</xdr:rowOff>
    </xdr:from>
    <xdr:to>
      <xdr:col>8</xdr:col>
      <xdr:colOff>190500</xdr:colOff>
      <xdr:row>255</xdr:row>
      <xdr:rowOff>9525</xdr:rowOff>
    </xdr:to>
    <xdr:sp macro="" textlink="">
      <xdr:nvSpPr>
        <xdr:cNvPr id="167" name="AutoShape 52" descr="https://1portodos.com.br/ResidencialVillage/images/proibido-preto.svg">
          <a:extLst>
            <a:ext uri="{FF2B5EF4-FFF2-40B4-BE49-F238E27FC236}">
              <a16:creationId xmlns:a16="http://schemas.microsoft.com/office/drawing/2014/main" id="{A65DE39E-B4AC-41B3-BA34-4CAD63B36F2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80142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238</xdr:row>
      <xdr:rowOff>495300</xdr:rowOff>
    </xdr:from>
    <xdr:to>
      <xdr:col>8</xdr:col>
      <xdr:colOff>190500</xdr:colOff>
      <xdr:row>240</xdr:row>
      <xdr:rowOff>142875</xdr:rowOff>
    </xdr:to>
    <xdr:sp macro="" textlink="">
      <xdr:nvSpPr>
        <xdr:cNvPr id="168" name="AutoShape 53" descr="https://1portodos.com.br/ResidencialVillage/images/proibido-preto.svg">
          <a:extLst>
            <a:ext uri="{FF2B5EF4-FFF2-40B4-BE49-F238E27FC236}">
              <a16:creationId xmlns:a16="http://schemas.microsoft.com/office/drawing/2014/main" id="{36784FA6-5FFA-4451-9C27-183BCBBFC2C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4566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252</xdr:row>
      <xdr:rowOff>504825</xdr:rowOff>
    </xdr:from>
    <xdr:to>
      <xdr:col>8</xdr:col>
      <xdr:colOff>190500</xdr:colOff>
      <xdr:row>254</xdr:row>
      <xdr:rowOff>142875</xdr:rowOff>
    </xdr:to>
    <xdr:sp macro="" textlink="">
      <xdr:nvSpPr>
        <xdr:cNvPr id="169" name="AutoShape 54" descr="https://1portodos.com.br/ResidencialVillage/images/proibido-preto.svg">
          <a:extLst>
            <a:ext uri="{FF2B5EF4-FFF2-40B4-BE49-F238E27FC236}">
              <a16:creationId xmlns:a16="http://schemas.microsoft.com/office/drawing/2014/main" id="{D6D04187-4B6A-4F64-9168-390551B74A1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7823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201</xdr:row>
      <xdr:rowOff>514350</xdr:rowOff>
    </xdr:from>
    <xdr:to>
      <xdr:col>8</xdr:col>
      <xdr:colOff>190500</xdr:colOff>
      <xdr:row>205</xdr:row>
      <xdr:rowOff>28575</xdr:rowOff>
    </xdr:to>
    <xdr:sp macro="" textlink="">
      <xdr:nvSpPr>
        <xdr:cNvPr id="170" name="AutoShape 55" descr="https://1portodos.com.br/ResidencialVillage/images/proibido-preto.svg">
          <a:extLst>
            <a:ext uri="{FF2B5EF4-FFF2-40B4-BE49-F238E27FC236}">
              <a16:creationId xmlns:a16="http://schemas.microsoft.com/office/drawing/2014/main" id="{439065DA-72D0-4C48-9C6E-1D00DA8D6E6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6165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279</xdr:row>
      <xdr:rowOff>523875</xdr:rowOff>
    </xdr:from>
    <xdr:to>
      <xdr:col>8</xdr:col>
      <xdr:colOff>190500</xdr:colOff>
      <xdr:row>281</xdr:row>
      <xdr:rowOff>142875</xdr:rowOff>
    </xdr:to>
    <xdr:sp macro="" textlink="">
      <xdr:nvSpPr>
        <xdr:cNvPr id="171" name="AutoShape 56" descr="https://1portodos.com.br/ResidencialVillage/images/proibido-preto.svg">
          <a:extLst>
            <a:ext uri="{FF2B5EF4-FFF2-40B4-BE49-F238E27FC236}">
              <a16:creationId xmlns:a16="http://schemas.microsoft.com/office/drawing/2014/main" id="{EEA72920-04F8-49DB-B511-723A3B55FAC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41293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236</xdr:row>
      <xdr:rowOff>533400</xdr:rowOff>
    </xdr:from>
    <xdr:to>
      <xdr:col>8</xdr:col>
      <xdr:colOff>190500</xdr:colOff>
      <xdr:row>238</xdr:row>
      <xdr:rowOff>142875</xdr:rowOff>
    </xdr:to>
    <xdr:sp macro="" textlink="">
      <xdr:nvSpPr>
        <xdr:cNvPr id="172" name="AutoShape 57" descr="https://1portodos.com.br/ResidencialVillage/images/proibido-preto.svg">
          <a:extLst>
            <a:ext uri="{FF2B5EF4-FFF2-40B4-BE49-F238E27FC236}">
              <a16:creationId xmlns:a16="http://schemas.microsoft.com/office/drawing/2014/main" id="{972937F2-3CE5-42CB-B67B-4E0F01B69BC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4185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277</xdr:row>
      <xdr:rowOff>542925</xdr:rowOff>
    </xdr:from>
    <xdr:to>
      <xdr:col>8</xdr:col>
      <xdr:colOff>190500</xdr:colOff>
      <xdr:row>279</xdr:row>
      <xdr:rowOff>9525</xdr:rowOff>
    </xdr:to>
    <xdr:sp macro="" textlink="">
      <xdr:nvSpPr>
        <xdr:cNvPr id="173" name="AutoShape 58" descr="https://1portodos.com.br/ResidencialVillage/images/proibido-preto.svg">
          <a:extLst>
            <a:ext uri="{FF2B5EF4-FFF2-40B4-BE49-F238E27FC236}">
              <a16:creationId xmlns:a16="http://schemas.microsoft.com/office/drawing/2014/main" id="{2D4E6875-2B9F-40DD-83C2-8CB6612D9A9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3233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93</xdr:row>
      <xdr:rowOff>552450</xdr:rowOff>
    </xdr:from>
    <xdr:to>
      <xdr:col>8</xdr:col>
      <xdr:colOff>190500</xdr:colOff>
      <xdr:row>95</xdr:row>
      <xdr:rowOff>142875</xdr:rowOff>
    </xdr:to>
    <xdr:sp macro="" textlink="">
      <xdr:nvSpPr>
        <xdr:cNvPr id="174" name="AutoShape 59" descr="https://1portodos.com.br/ResidencialVillage/images/proibido-preto.svg">
          <a:extLst>
            <a:ext uri="{FF2B5EF4-FFF2-40B4-BE49-F238E27FC236}">
              <a16:creationId xmlns:a16="http://schemas.microsoft.com/office/drawing/2014/main" id="{5F5B2996-B3C0-430F-BB93-7FBADCE4624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8832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203</xdr:row>
      <xdr:rowOff>561975</xdr:rowOff>
    </xdr:from>
    <xdr:to>
      <xdr:col>8</xdr:col>
      <xdr:colOff>190500</xdr:colOff>
      <xdr:row>206</xdr:row>
      <xdr:rowOff>85725</xdr:rowOff>
    </xdr:to>
    <xdr:sp macro="" textlink="">
      <xdr:nvSpPr>
        <xdr:cNvPr id="175" name="AutoShape 60" descr="https://1portodos.com.br/ResidencialVillage/images/proibido-preto.svg">
          <a:extLst>
            <a:ext uri="{FF2B5EF4-FFF2-40B4-BE49-F238E27FC236}">
              <a16:creationId xmlns:a16="http://schemas.microsoft.com/office/drawing/2014/main" id="{276058A2-2338-4602-BB3E-5F063D7CB0E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6546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76</xdr:row>
      <xdr:rowOff>571500</xdr:rowOff>
    </xdr:from>
    <xdr:to>
      <xdr:col>8</xdr:col>
      <xdr:colOff>190500</xdr:colOff>
      <xdr:row>78</xdr:row>
      <xdr:rowOff>142875</xdr:rowOff>
    </xdr:to>
    <xdr:sp macro="" textlink="">
      <xdr:nvSpPr>
        <xdr:cNvPr id="176" name="AutoShape 61" descr="https://1portodos.com.br/ResidencialVillage/images/proibido-preto.svg">
          <a:extLst>
            <a:ext uri="{FF2B5EF4-FFF2-40B4-BE49-F238E27FC236}">
              <a16:creationId xmlns:a16="http://schemas.microsoft.com/office/drawing/2014/main" id="{1E7C2DE9-620D-47D3-AD39-CD7FB10495D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52723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212</xdr:row>
      <xdr:rowOff>581025</xdr:rowOff>
    </xdr:from>
    <xdr:to>
      <xdr:col>8</xdr:col>
      <xdr:colOff>190500</xdr:colOff>
      <xdr:row>214</xdr:row>
      <xdr:rowOff>142875</xdr:rowOff>
    </xdr:to>
    <xdr:sp macro="" textlink="">
      <xdr:nvSpPr>
        <xdr:cNvPr id="177" name="AutoShape 62" descr="https://1portodos.com.br/ResidencialVillage/images/proibido-preto.svg">
          <a:extLst>
            <a:ext uri="{FF2B5EF4-FFF2-40B4-BE49-F238E27FC236}">
              <a16:creationId xmlns:a16="http://schemas.microsoft.com/office/drawing/2014/main" id="{1EDC91B5-020B-489E-B933-34528E98C14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8260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278</xdr:row>
      <xdr:rowOff>590550</xdr:rowOff>
    </xdr:from>
    <xdr:to>
      <xdr:col>8</xdr:col>
      <xdr:colOff>190500</xdr:colOff>
      <xdr:row>280</xdr:row>
      <xdr:rowOff>142875</xdr:rowOff>
    </xdr:to>
    <xdr:sp macro="" textlink="">
      <xdr:nvSpPr>
        <xdr:cNvPr id="178" name="AutoShape 63" descr="https://1portodos.com.br/ResidencialVillage/images/proibido-preto.svg">
          <a:extLst>
            <a:ext uri="{FF2B5EF4-FFF2-40B4-BE49-F238E27FC236}">
              <a16:creationId xmlns:a16="http://schemas.microsoft.com/office/drawing/2014/main" id="{56603097-591C-43F0-984A-C561C4585B8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35578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276</xdr:row>
      <xdr:rowOff>600075</xdr:rowOff>
    </xdr:from>
    <xdr:to>
      <xdr:col>8</xdr:col>
      <xdr:colOff>190500</xdr:colOff>
      <xdr:row>278</xdr:row>
      <xdr:rowOff>142875</xdr:rowOff>
    </xdr:to>
    <xdr:sp macro="" textlink="">
      <xdr:nvSpPr>
        <xdr:cNvPr id="179" name="AutoShape 64" descr="https://1portodos.com.br/ResidencialVillage/images/proibido-preto.svg">
          <a:extLst>
            <a:ext uri="{FF2B5EF4-FFF2-40B4-BE49-F238E27FC236}">
              <a16:creationId xmlns:a16="http://schemas.microsoft.com/office/drawing/2014/main" id="{5B4346E0-85CF-4C55-9009-DC56D073D17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3043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209</xdr:row>
      <xdr:rowOff>609600</xdr:rowOff>
    </xdr:from>
    <xdr:to>
      <xdr:col>8</xdr:col>
      <xdr:colOff>190500</xdr:colOff>
      <xdr:row>211</xdr:row>
      <xdr:rowOff>142875</xdr:rowOff>
    </xdr:to>
    <xdr:sp macro="" textlink="">
      <xdr:nvSpPr>
        <xdr:cNvPr id="180" name="AutoShape 65" descr="https://1portodos.com.br/ResidencialVillage/images/proibido-preto.svg">
          <a:extLst>
            <a:ext uri="{FF2B5EF4-FFF2-40B4-BE49-F238E27FC236}">
              <a16:creationId xmlns:a16="http://schemas.microsoft.com/office/drawing/2014/main" id="{F5E03CDB-BE41-45D6-A170-FD80619CDB5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7689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245</xdr:row>
      <xdr:rowOff>619125</xdr:rowOff>
    </xdr:from>
    <xdr:to>
      <xdr:col>8</xdr:col>
      <xdr:colOff>190500</xdr:colOff>
      <xdr:row>247</xdr:row>
      <xdr:rowOff>9525</xdr:rowOff>
    </xdr:to>
    <xdr:sp macro="" textlink="">
      <xdr:nvSpPr>
        <xdr:cNvPr id="181" name="AutoShape 66" descr="https://1portodos.com.br/ResidencialVillage/images/proibido-preto.svg">
          <a:extLst>
            <a:ext uri="{FF2B5EF4-FFF2-40B4-BE49-F238E27FC236}">
              <a16:creationId xmlns:a16="http://schemas.microsoft.com/office/drawing/2014/main" id="{CC9F350E-C7C8-453A-B411-58203390BB9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61664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244</xdr:row>
      <xdr:rowOff>628650</xdr:rowOff>
    </xdr:from>
    <xdr:to>
      <xdr:col>8</xdr:col>
      <xdr:colOff>190500</xdr:colOff>
      <xdr:row>246</xdr:row>
      <xdr:rowOff>142875</xdr:rowOff>
    </xdr:to>
    <xdr:sp macro="" textlink="">
      <xdr:nvSpPr>
        <xdr:cNvPr id="182" name="AutoShape 67" descr="https://1portodos.com.br/ResidencialVillage/images/proibido-preto.svg">
          <a:extLst>
            <a:ext uri="{FF2B5EF4-FFF2-40B4-BE49-F238E27FC236}">
              <a16:creationId xmlns:a16="http://schemas.microsoft.com/office/drawing/2014/main" id="{DDFE510B-2C93-487B-A8B5-3F5D272568A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58425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241</xdr:row>
      <xdr:rowOff>638175</xdr:rowOff>
    </xdr:from>
    <xdr:to>
      <xdr:col>8</xdr:col>
      <xdr:colOff>190500</xdr:colOff>
      <xdr:row>243</xdr:row>
      <xdr:rowOff>9525</xdr:rowOff>
    </xdr:to>
    <xdr:sp macro="" textlink="">
      <xdr:nvSpPr>
        <xdr:cNvPr id="183" name="AutoShape 68" descr="https://1portodos.com.br/ResidencialVillage/images/proibido-preto.svg">
          <a:extLst>
            <a:ext uri="{FF2B5EF4-FFF2-40B4-BE49-F238E27FC236}">
              <a16:creationId xmlns:a16="http://schemas.microsoft.com/office/drawing/2014/main" id="{71ABC98D-72AB-4925-9A6B-47EE6C4E9BD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51377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222</xdr:row>
      <xdr:rowOff>647700</xdr:rowOff>
    </xdr:from>
    <xdr:to>
      <xdr:col>8</xdr:col>
      <xdr:colOff>190500</xdr:colOff>
      <xdr:row>224</xdr:row>
      <xdr:rowOff>9525</xdr:rowOff>
    </xdr:to>
    <xdr:sp macro="" textlink="">
      <xdr:nvSpPr>
        <xdr:cNvPr id="184" name="AutoShape 69" descr="https://1portodos.com.br/ResidencialVillage/images/proibido-preto.svg">
          <a:extLst>
            <a:ext uri="{FF2B5EF4-FFF2-40B4-BE49-F238E27FC236}">
              <a16:creationId xmlns:a16="http://schemas.microsoft.com/office/drawing/2014/main" id="{31168D78-93E1-4E63-AA44-3368AD3AD47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08705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96</xdr:row>
      <xdr:rowOff>657225</xdr:rowOff>
    </xdr:from>
    <xdr:to>
      <xdr:col>8</xdr:col>
      <xdr:colOff>190500</xdr:colOff>
      <xdr:row>98</xdr:row>
      <xdr:rowOff>142875</xdr:rowOff>
    </xdr:to>
    <xdr:sp macro="" textlink="">
      <xdr:nvSpPr>
        <xdr:cNvPr id="185" name="AutoShape 70" descr="https://1portodos.com.br/ResidencialVillage/images/proibido-preto.svg">
          <a:extLst>
            <a:ext uri="{FF2B5EF4-FFF2-40B4-BE49-F238E27FC236}">
              <a16:creationId xmlns:a16="http://schemas.microsoft.com/office/drawing/2014/main" id="{C034967D-9E0B-4F00-956B-D8DBD7C7DF4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39388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215</xdr:row>
      <xdr:rowOff>666750</xdr:rowOff>
    </xdr:from>
    <xdr:to>
      <xdr:col>8</xdr:col>
      <xdr:colOff>190500</xdr:colOff>
      <xdr:row>217</xdr:row>
      <xdr:rowOff>142875</xdr:rowOff>
    </xdr:to>
    <xdr:sp macro="" textlink="">
      <xdr:nvSpPr>
        <xdr:cNvPr id="186" name="AutoShape 71" descr="https://1portodos.com.br/ResidencialVillage/images/proibido-preto.svg">
          <a:extLst>
            <a:ext uri="{FF2B5EF4-FFF2-40B4-BE49-F238E27FC236}">
              <a16:creationId xmlns:a16="http://schemas.microsoft.com/office/drawing/2014/main" id="{BE22DE03-3462-4BD6-AA95-6403DA8DB05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9213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60</xdr:row>
      <xdr:rowOff>676275</xdr:rowOff>
    </xdr:from>
    <xdr:to>
      <xdr:col>8</xdr:col>
      <xdr:colOff>190500</xdr:colOff>
      <xdr:row>62</xdr:row>
      <xdr:rowOff>142875</xdr:rowOff>
    </xdr:to>
    <xdr:sp macro="" textlink="">
      <xdr:nvSpPr>
        <xdr:cNvPr id="187" name="AutoShape 72" descr="https://1portodos.com.br/ResidencialVillage/images/proibido-preto.svg">
          <a:extLst>
            <a:ext uri="{FF2B5EF4-FFF2-40B4-BE49-F238E27FC236}">
              <a16:creationId xmlns:a16="http://schemas.microsoft.com/office/drawing/2014/main" id="{8B5291C3-E602-426A-B96C-269068F4FA8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21468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260</xdr:row>
      <xdr:rowOff>685800</xdr:rowOff>
    </xdr:from>
    <xdr:to>
      <xdr:col>8</xdr:col>
      <xdr:colOff>190500</xdr:colOff>
      <xdr:row>262</xdr:row>
      <xdr:rowOff>142875</xdr:rowOff>
    </xdr:to>
    <xdr:sp macro="" textlink="">
      <xdr:nvSpPr>
        <xdr:cNvPr id="188" name="AutoShape 73" descr="https://1portodos.com.br/ResidencialVillage/images/proibido-preto.svg">
          <a:extLst>
            <a:ext uri="{FF2B5EF4-FFF2-40B4-BE49-F238E27FC236}">
              <a16:creationId xmlns:a16="http://schemas.microsoft.com/office/drawing/2014/main" id="{395AAD1F-CFDE-4F04-B77C-F4B4AA472E0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9804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193</xdr:row>
      <xdr:rowOff>695325</xdr:rowOff>
    </xdr:from>
    <xdr:to>
      <xdr:col>8</xdr:col>
      <xdr:colOff>190500</xdr:colOff>
      <xdr:row>197</xdr:row>
      <xdr:rowOff>28575</xdr:rowOff>
    </xdr:to>
    <xdr:sp macro="" textlink="">
      <xdr:nvSpPr>
        <xdr:cNvPr id="189" name="AutoShape 74" descr="https://1portodos.com.br/ResidencialVillage/images/proibido-preto.svg">
          <a:extLst>
            <a:ext uri="{FF2B5EF4-FFF2-40B4-BE49-F238E27FC236}">
              <a16:creationId xmlns:a16="http://schemas.microsoft.com/office/drawing/2014/main" id="{D31BC9DD-0C96-4DB8-B210-42FB76A1537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4641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237</xdr:row>
      <xdr:rowOff>704850</xdr:rowOff>
    </xdr:from>
    <xdr:to>
      <xdr:col>8</xdr:col>
      <xdr:colOff>190500</xdr:colOff>
      <xdr:row>239</xdr:row>
      <xdr:rowOff>142875</xdr:rowOff>
    </xdr:to>
    <xdr:sp macro="" textlink="">
      <xdr:nvSpPr>
        <xdr:cNvPr id="190" name="AutoShape 75" descr="https://1portodos.com.br/ResidencialVillage/images/proibido-preto.svg">
          <a:extLst>
            <a:ext uri="{FF2B5EF4-FFF2-40B4-BE49-F238E27FC236}">
              <a16:creationId xmlns:a16="http://schemas.microsoft.com/office/drawing/2014/main" id="{A068FA66-967D-4E48-B856-8FACF23BA7B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43757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202</xdr:row>
      <xdr:rowOff>714375</xdr:rowOff>
    </xdr:from>
    <xdr:to>
      <xdr:col>8</xdr:col>
      <xdr:colOff>190500</xdr:colOff>
      <xdr:row>205</xdr:row>
      <xdr:rowOff>85725</xdr:rowOff>
    </xdr:to>
    <xdr:sp macro="" textlink="">
      <xdr:nvSpPr>
        <xdr:cNvPr id="191" name="AutoShape 76" descr="https://1portodos.com.br/ResidencialVillage/images/proibido-preto.svg">
          <a:extLst>
            <a:ext uri="{FF2B5EF4-FFF2-40B4-BE49-F238E27FC236}">
              <a16:creationId xmlns:a16="http://schemas.microsoft.com/office/drawing/2014/main" id="{BD9B7BFC-3ABB-4CB8-8FB1-AFB88B8C998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6355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</xdr:row>
      <xdr:rowOff>723900</xdr:rowOff>
    </xdr:from>
    <xdr:to>
      <xdr:col>8</xdr:col>
      <xdr:colOff>190500</xdr:colOff>
      <xdr:row>14</xdr:row>
      <xdr:rowOff>9525</xdr:rowOff>
    </xdr:to>
    <xdr:sp macro="" textlink="">
      <xdr:nvSpPr>
        <xdr:cNvPr id="192" name="AutoShape 77" descr="https://1portodos.com.br/ResidencialVillage/images/proibido-preto.svg">
          <a:extLst>
            <a:ext uri="{FF2B5EF4-FFF2-40B4-BE49-F238E27FC236}">
              <a16:creationId xmlns:a16="http://schemas.microsoft.com/office/drawing/2014/main" id="{C6DF2CF7-7CA0-44D1-8571-44460E34A1F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3480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231</xdr:row>
      <xdr:rowOff>733425</xdr:rowOff>
    </xdr:from>
    <xdr:to>
      <xdr:col>8</xdr:col>
      <xdr:colOff>190500</xdr:colOff>
      <xdr:row>233</xdr:row>
      <xdr:rowOff>142875</xdr:rowOff>
    </xdr:to>
    <xdr:sp macro="" textlink="">
      <xdr:nvSpPr>
        <xdr:cNvPr id="193" name="AutoShape 78" descr="https://1portodos.com.br/ResidencialVillage/images/proibido-preto.svg">
          <a:extLst>
            <a:ext uri="{FF2B5EF4-FFF2-40B4-BE49-F238E27FC236}">
              <a16:creationId xmlns:a16="http://schemas.microsoft.com/office/drawing/2014/main" id="{EBA054ED-2A03-4E1E-949B-A5207EAEBB4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29088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198</xdr:row>
      <xdr:rowOff>85725</xdr:rowOff>
    </xdr:from>
    <xdr:to>
      <xdr:col>8</xdr:col>
      <xdr:colOff>190500</xdr:colOff>
      <xdr:row>201</xdr:row>
      <xdr:rowOff>38100</xdr:rowOff>
    </xdr:to>
    <xdr:sp macro="" textlink="">
      <xdr:nvSpPr>
        <xdr:cNvPr id="194" name="AutoShape 79" descr="https://1portodos.com.br/ResidencialVillage/images/proibido-preto.svg">
          <a:extLst>
            <a:ext uri="{FF2B5EF4-FFF2-40B4-BE49-F238E27FC236}">
              <a16:creationId xmlns:a16="http://schemas.microsoft.com/office/drawing/2014/main" id="{6BBC1D21-D9E1-4EB3-B35B-9932734D5BD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5488900"/>
          <a:ext cx="1905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273</xdr:row>
      <xdr:rowOff>257175</xdr:rowOff>
    </xdr:from>
    <xdr:to>
      <xdr:col>8</xdr:col>
      <xdr:colOff>190500</xdr:colOff>
      <xdr:row>276</xdr:row>
      <xdr:rowOff>104775</xdr:rowOff>
    </xdr:to>
    <xdr:sp macro="" textlink="">
      <xdr:nvSpPr>
        <xdr:cNvPr id="195" name="AutoShape 80" descr="https://1portodos.com.br/ResidencialVillage/images/proibido-preto.svg">
          <a:extLst>
            <a:ext uri="{FF2B5EF4-FFF2-40B4-BE49-F238E27FC236}">
              <a16:creationId xmlns:a16="http://schemas.microsoft.com/office/drawing/2014/main" id="{BBEB3609-0AC1-4B6D-8B6D-9919BAF9984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2471975"/>
          <a:ext cx="19050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273</xdr:row>
      <xdr:rowOff>762000</xdr:rowOff>
    </xdr:from>
    <xdr:to>
      <xdr:col>8</xdr:col>
      <xdr:colOff>190500</xdr:colOff>
      <xdr:row>275</xdr:row>
      <xdr:rowOff>142875</xdr:rowOff>
    </xdr:to>
    <xdr:sp macro="" textlink="">
      <xdr:nvSpPr>
        <xdr:cNvPr id="196" name="AutoShape 81" descr="https://1portodos.com.br/ResidencialVillage/images/proibido-preto.svg">
          <a:extLst>
            <a:ext uri="{FF2B5EF4-FFF2-40B4-BE49-F238E27FC236}">
              <a16:creationId xmlns:a16="http://schemas.microsoft.com/office/drawing/2014/main" id="{111593BC-0AF7-4512-9627-0691013C034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2471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213</xdr:row>
      <xdr:rowOff>771525</xdr:rowOff>
    </xdr:from>
    <xdr:to>
      <xdr:col>8</xdr:col>
      <xdr:colOff>190500</xdr:colOff>
      <xdr:row>215</xdr:row>
      <xdr:rowOff>142875</xdr:rowOff>
    </xdr:to>
    <xdr:sp macro="" textlink="">
      <xdr:nvSpPr>
        <xdr:cNvPr id="197" name="AutoShape 82" descr="https://1portodos.com.br/ResidencialVillage/images/proibido-preto.svg">
          <a:extLst>
            <a:ext uri="{FF2B5EF4-FFF2-40B4-BE49-F238E27FC236}">
              <a16:creationId xmlns:a16="http://schemas.microsoft.com/office/drawing/2014/main" id="{073DD3E9-ECF5-48B7-9E81-24AD132AB54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8451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197</xdr:row>
      <xdr:rowOff>123825</xdr:rowOff>
    </xdr:from>
    <xdr:to>
      <xdr:col>8</xdr:col>
      <xdr:colOff>190500</xdr:colOff>
      <xdr:row>200</xdr:row>
      <xdr:rowOff>38100</xdr:rowOff>
    </xdr:to>
    <xdr:sp macro="" textlink="">
      <xdr:nvSpPr>
        <xdr:cNvPr id="198" name="AutoShape 83" descr="https://1portodos.com.br/ResidencialVillage/images/proibido-preto.svg">
          <a:extLst>
            <a:ext uri="{FF2B5EF4-FFF2-40B4-BE49-F238E27FC236}">
              <a16:creationId xmlns:a16="http://schemas.microsoft.com/office/drawing/2014/main" id="{A4B30899-0484-494A-AFC0-A74BA85388B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5336500"/>
          <a:ext cx="1905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197</xdr:row>
      <xdr:rowOff>790575</xdr:rowOff>
    </xdr:from>
    <xdr:to>
      <xdr:col>8</xdr:col>
      <xdr:colOff>190500</xdr:colOff>
      <xdr:row>201</xdr:row>
      <xdr:rowOff>28575</xdr:rowOff>
    </xdr:to>
    <xdr:sp macro="" textlink="">
      <xdr:nvSpPr>
        <xdr:cNvPr id="199" name="AutoShape 84" descr="https://1portodos.com.br/ResidencialVillage/images/proibido-preto.svg">
          <a:extLst>
            <a:ext uri="{FF2B5EF4-FFF2-40B4-BE49-F238E27FC236}">
              <a16:creationId xmlns:a16="http://schemas.microsoft.com/office/drawing/2014/main" id="{892F625F-A190-47B0-A291-F0A50D15FF1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5403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269</xdr:row>
      <xdr:rowOff>142875</xdr:rowOff>
    </xdr:from>
    <xdr:to>
      <xdr:col>8</xdr:col>
      <xdr:colOff>190500</xdr:colOff>
      <xdr:row>271</xdr:row>
      <xdr:rowOff>95250</xdr:rowOff>
    </xdr:to>
    <xdr:sp macro="" textlink="">
      <xdr:nvSpPr>
        <xdr:cNvPr id="200" name="AutoShape 85" descr="https://1portodos.com.br/ResidencialVillage/images/proibido-preto.svg">
          <a:extLst>
            <a:ext uri="{FF2B5EF4-FFF2-40B4-BE49-F238E27FC236}">
              <a16:creationId xmlns:a16="http://schemas.microsoft.com/office/drawing/2014/main" id="{1809DD7A-CB50-4F51-A623-2B1B0A18B2D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16623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269</xdr:row>
      <xdr:rowOff>809625</xdr:rowOff>
    </xdr:from>
    <xdr:to>
      <xdr:col>8</xdr:col>
      <xdr:colOff>190500</xdr:colOff>
      <xdr:row>271</xdr:row>
      <xdr:rowOff>142875</xdr:rowOff>
    </xdr:to>
    <xdr:sp macro="" textlink="">
      <xdr:nvSpPr>
        <xdr:cNvPr id="201" name="AutoShape 86" descr="https://1portodos.com.br/ResidencialVillage/images/proibido-preto.svg">
          <a:extLst>
            <a:ext uri="{FF2B5EF4-FFF2-40B4-BE49-F238E27FC236}">
              <a16:creationId xmlns:a16="http://schemas.microsoft.com/office/drawing/2014/main" id="{D0C56163-5FD1-48DB-8BAB-19EC12EE4ED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1709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249</xdr:row>
      <xdr:rowOff>0</xdr:rowOff>
    </xdr:from>
    <xdr:to>
      <xdr:col>8</xdr:col>
      <xdr:colOff>190500</xdr:colOff>
      <xdr:row>250</xdr:row>
      <xdr:rowOff>142875</xdr:rowOff>
    </xdr:to>
    <xdr:sp macro="" textlink="">
      <xdr:nvSpPr>
        <xdr:cNvPr id="202" name="AutoShape 87" descr="https://1portodos.com.br/ResidencialVillage/images/proibido-preto.svg">
          <a:extLst>
            <a:ext uri="{FF2B5EF4-FFF2-40B4-BE49-F238E27FC236}">
              <a16:creationId xmlns:a16="http://schemas.microsoft.com/office/drawing/2014/main" id="{08DBCB0E-E370-4598-AF28-93876A27A7E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7061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</xdr:row>
      <xdr:rowOff>9525</xdr:rowOff>
    </xdr:from>
    <xdr:to>
      <xdr:col>8</xdr:col>
      <xdr:colOff>190500</xdr:colOff>
      <xdr:row>11</xdr:row>
      <xdr:rowOff>152400</xdr:rowOff>
    </xdr:to>
    <xdr:sp macro="" textlink="">
      <xdr:nvSpPr>
        <xdr:cNvPr id="203" name="AutoShape 88" descr="https://1portodos.com.br/ResidencialVillage/images/proibido-preto.svg">
          <a:extLst>
            <a:ext uri="{FF2B5EF4-FFF2-40B4-BE49-F238E27FC236}">
              <a16:creationId xmlns:a16="http://schemas.microsoft.com/office/drawing/2014/main" id="{C4D4C082-0691-41DC-A8E4-75D794A6B21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83476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243</xdr:row>
      <xdr:rowOff>19050</xdr:rowOff>
    </xdr:from>
    <xdr:to>
      <xdr:col>8</xdr:col>
      <xdr:colOff>190500</xdr:colOff>
      <xdr:row>244</xdr:row>
      <xdr:rowOff>152400</xdr:rowOff>
    </xdr:to>
    <xdr:sp macro="" textlink="">
      <xdr:nvSpPr>
        <xdr:cNvPr id="204" name="AutoShape 89" descr="https://1portodos.com.br/ResidencialVillage/images/proibido-preto.svg">
          <a:extLst>
            <a:ext uri="{FF2B5EF4-FFF2-40B4-BE49-F238E27FC236}">
              <a16:creationId xmlns:a16="http://schemas.microsoft.com/office/drawing/2014/main" id="{9B719B0D-EF96-49CF-A017-0B1089B4BA7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5480625"/>
          <a:ext cx="1905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227</xdr:row>
      <xdr:rowOff>28575</xdr:rowOff>
    </xdr:from>
    <xdr:to>
      <xdr:col>8</xdr:col>
      <xdr:colOff>190500</xdr:colOff>
      <xdr:row>228</xdr:row>
      <xdr:rowOff>171450</xdr:rowOff>
    </xdr:to>
    <xdr:sp macro="" textlink="">
      <xdr:nvSpPr>
        <xdr:cNvPr id="205" name="AutoShape 90" descr="https://1portodos.com.br/ResidencialVillage/images/proibido-preto.svg">
          <a:extLst>
            <a:ext uri="{FF2B5EF4-FFF2-40B4-BE49-F238E27FC236}">
              <a16:creationId xmlns:a16="http://schemas.microsoft.com/office/drawing/2014/main" id="{D7B39D2A-E176-440D-BBAC-068E4BD5F0A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17944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266</xdr:row>
      <xdr:rowOff>38100</xdr:rowOff>
    </xdr:from>
    <xdr:to>
      <xdr:col>8</xdr:col>
      <xdr:colOff>190500</xdr:colOff>
      <xdr:row>268</xdr:row>
      <xdr:rowOff>123825</xdr:rowOff>
    </xdr:to>
    <xdr:sp macro="" textlink="">
      <xdr:nvSpPr>
        <xdr:cNvPr id="206" name="AutoShape 91" descr="https://1portodos.com.br/ResidencialVillage/images/proibido-preto.svg">
          <a:extLst>
            <a:ext uri="{FF2B5EF4-FFF2-40B4-BE49-F238E27FC236}">
              <a16:creationId xmlns:a16="http://schemas.microsoft.com/office/drawing/2014/main" id="{9B2109F7-6C4E-4299-B7C2-A187E416A6E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0986075"/>
          <a:ext cx="1905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266</xdr:row>
      <xdr:rowOff>866775</xdr:rowOff>
    </xdr:from>
    <xdr:to>
      <xdr:col>8</xdr:col>
      <xdr:colOff>190500</xdr:colOff>
      <xdr:row>268</xdr:row>
      <xdr:rowOff>142875</xdr:rowOff>
    </xdr:to>
    <xdr:sp macro="" textlink="">
      <xdr:nvSpPr>
        <xdr:cNvPr id="207" name="AutoShape 92" descr="https://1portodos.com.br/ResidencialVillage/images/proibido-preto.svg">
          <a:extLst>
            <a:ext uri="{FF2B5EF4-FFF2-40B4-BE49-F238E27FC236}">
              <a16:creationId xmlns:a16="http://schemas.microsoft.com/office/drawing/2014/main" id="{32F46A01-4FAB-4DBC-BACB-116F0662301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1138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200</xdr:row>
      <xdr:rowOff>876300</xdr:rowOff>
    </xdr:from>
    <xdr:to>
      <xdr:col>8</xdr:col>
      <xdr:colOff>190500</xdr:colOff>
      <xdr:row>204</xdr:row>
      <xdr:rowOff>28575</xdr:rowOff>
    </xdr:to>
    <xdr:sp macro="" textlink="">
      <xdr:nvSpPr>
        <xdr:cNvPr id="208" name="AutoShape 93" descr="https://1portodos.com.br/ResidencialVillage/images/proibido-preto.svg">
          <a:extLst>
            <a:ext uri="{FF2B5EF4-FFF2-40B4-BE49-F238E27FC236}">
              <a16:creationId xmlns:a16="http://schemas.microsoft.com/office/drawing/2014/main" id="{ABEBF358-EA80-48F4-89FC-9F242C55C7F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5974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259</xdr:row>
      <xdr:rowOff>66675</xdr:rowOff>
    </xdr:from>
    <xdr:to>
      <xdr:col>8</xdr:col>
      <xdr:colOff>190500</xdr:colOff>
      <xdr:row>260</xdr:row>
      <xdr:rowOff>152400</xdr:rowOff>
    </xdr:to>
    <xdr:sp macro="" textlink="">
      <xdr:nvSpPr>
        <xdr:cNvPr id="209" name="AutoShape 94" descr="https://1portodos.com.br/ResidencialVillage/images/proibido-preto.svg">
          <a:extLst>
            <a:ext uri="{FF2B5EF4-FFF2-40B4-BE49-F238E27FC236}">
              <a16:creationId xmlns:a16="http://schemas.microsoft.com/office/drawing/2014/main" id="{C68C5023-3BA8-42DA-93C9-9F3C0154B60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9357300"/>
          <a:ext cx="190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199</xdr:row>
      <xdr:rowOff>76200</xdr:rowOff>
    </xdr:from>
    <xdr:to>
      <xdr:col>8</xdr:col>
      <xdr:colOff>190500</xdr:colOff>
      <xdr:row>202</xdr:row>
      <xdr:rowOff>38100</xdr:rowOff>
    </xdr:to>
    <xdr:sp macro="" textlink="">
      <xdr:nvSpPr>
        <xdr:cNvPr id="210" name="AutoShape 95" descr="https://1portodos.com.br/ResidencialVillage/images/proibido-preto.svg">
          <a:extLst>
            <a:ext uri="{FF2B5EF4-FFF2-40B4-BE49-F238E27FC236}">
              <a16:creationId xmlns:a16="http://schemas.microsoft.com/office/drawing/2014/main" id="{7883F859-C438-4EA1-8F16-7B069853C47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5669875"/>
          <a:ext cx="1905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199</xdr:row>
      <xdr:rowOff>904875</xdr:rowOff>
    </xdr:from>
    <xdr:to>
      <xdr:col>8</xdr:col>
      <xdr:colOff>190500</xdr:colOff>
      <xdr:row>203</xdr:row>
      <xdr:rowOff>28575</xdr:rowOff>
    </xdr:to>
    <xdr:sp macro="" textlink="">
      <xdr:nvSpPr>
        <xdr:cNvPr id="211" name="AutoShape 96" descr="https://1portodos.com.br/ResidencialVillage/images/proibido-preto.svg">
          <a:extLst>
            <a:ext uri="{FF2B5EF4-FFF2-40B4-BE49-F238E27FC236}">
              <a16:creationId xmlns:a16="http://schemas.microsoft.com/office/drawing/2014/main" id="{DDCABC1E-B76F-46CE-ABDC-8CB246EAD8B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5784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270</xdr:row>
      <xdr:rowOff>95250</xdr:rowOff>
    </xdr:from>
    <xdr:to>
      <xdr:col>8</xdr:col>
      <xdr:colOff>190500</xdr:colOff>
      <xdr:row>273</xdr:row>
      <xdr:rowOff>133350</xdr:rowOff>
    </xdr:to>
    <xdr:sp macro="" textlink="">
      <xdr:nvSpPr>
        <xdr:cNvPr id="212" name="AutoShape 97" descr="https://1portodos.com.br/ResidencialVillage/images/proibido-preto.svg">
          <a:extLst>
            <a:ext uri="{FF2B5EF4-FFF2-40B4-BE49-F238E27FC236}">
              <a16:creationId xmlns:a16="http://schemas.microsoft.com/office/drawing/2014/main" id="{5C19FD2C-209B-4F85-8D2C-328BD7BECAC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1805225"/>
          <a:ext cx="1905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270</xdr:row>
      <xdr:rowOff>923925</xdr:rowOff>
    </xdr:from>
    <xdr:to>
      <xdr:col>8</xdr:col>
      <xdr:colOff>190500</xdr:colOff>
      <xdr:row>272</xdr:row>
      <xdr:rowOff>142875</xdr:rowOff>
    </xdr:to>
    <xdr:sp macro="" textlink="">
      <xdr:nvSpPr>
        <xdr:cNvPr id="213" name="AutoShape 98" descr="https://1portodos.com.br/ResidencialVillage/images/proibido-preto.svg">
          <a:extLst>
            <a:ext uri="{FF2B5EF4-FFF2-40B4-BE49-F238E27FC236}">
              <a16:creationId xmlns:a16="http://schemas.microsoft.com/office/drawing/2014/main" id="{0A546924-27E2-4D6E-8D67-73848917EE6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1900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192</xdr:row>
      <xdr:rowOff>933450</xdr:rowOff>
    </xdr:from>
    <xdr:to>
      <xdr:col>8</xdr:col>
      <xdr:colOff>190500</xdr:colOff>
      <xdr:row>196</xdr:row>
      <xdr:rowOff>28575</xdr:rowOff>
    </xdr:to>
    <xdr:sp macro="" textlink="">
      <xdr:nvSpPr>
        <xdr:cNvPr id="214" name="AutoShape 99" descr="https://1portodos.com.br/ResidencialVillage/images/proibido-preto.svg">
          <a:extLst>
            <a:ext uri="{FF2B5EF4-FFF2-40B4-BE49-F238E27FC236}">
              <a16:creationId xmlns:a16="http://schemas.microsoft.com/office/drawing/2014/main" id="{DA826B43-B9FC-44CC-9B91-7A4C9EB6320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24450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235</xdr:row>
      <xdr:rowOff>285750</xdr:rowOff>
    </xdr:from>
    <xdr:to>
      <xdr:col>8</xdr:col>
      <xdr:colOff>190500</xdr:colOff>
      <xdr:row>238</xdr:row>
      <xdr:rowOff>9525</xdr:rowOff>
    </xdr:to>
    <xdr:sp macro="" textlink="">
      <xdr:nvSpPr>
        <xdr:cNvPr id="215" name="AutoShape 100" descr="https://1portodos.com.br/ResidencialVillage/images/proibido-preto.svg">
          <a:extLst>
            <a:ext uri="{FF2B5EF4-FFF2-40B4-BE49-F238E27FC236}">
              <a16:creationId xmlns:a16="http://schemas.microsoft.com/office/drawing/2014/main" id="{8F26556C-94C6-4E8E-B92B-D9594D83706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3956625"/>
          <a:ext cx="190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235</xdr:row>
      <xdr:rowOff>952500</xdr:rowOff>
    </xdr:from>
    <xdr:to>
      <xdr:col>8</xdr:col>
      <xdr:colOff>190500</xdr:colOff>
      <xdr:row>237</xdr:row>
      <xdr:rowOff>142875</xdr:rowOff>
    </xdr:to>
    <xdr:sp macro="" textlink="">
      <xdr:nvSpPr>
        <xdr:cNvPr id="216" name="AutoShape 101" descr="https://1portodos.com.br/ResidencialVillage/images/proibido-preto.svg">
          <a:extLst>
            <a:ext uri="{FF2B5EF4-FFF2-40B4-BE49-F238E27FC236}">
              <a16:creationId xmlns:a16="http://schemas.microsoft.com/office/drawing/2014/main" id="{581D783F-E4A5-4F79-905B-05E9D0A0750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39947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230</xdr:row>
      <xdr:rowOff>962025</xdr:rowOff>
    </xdr:from>
    <xdr:to>
      <xdr:col>8</xdr:col>
      <xdr:colOff>190500</xdr:colOff>
      <xdr:row>232</xdr:row>
      <xdr:rowOff>142875</xdr:rowOff>
    </xdr:to>
    <xdr:sp macro="" textlink="">
      <xdr:nvSpPr>
        <xdr:cNvPr id="217" name="AutoShape 102" descr="https://1portodos.com.br/ResidencialVillage/images/proibido-preto.svg">
          <a:extLst>
            <a:ext uri="{FF2B5EF4-FFF2-40B4-BE49-F238E27FC236}">
              <a16:creationId xmlns:a16="http://schemas.microsoft.com/office/drawing/2014/main" id="{B09BC229-F121-416F-8576-CC069EDC38C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2718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81</xdr:row>
      <xdr:rowOff>152400</xdr:rowOff>
    </xdr:from>
    <xdr:to>
      <xdr:col>8</xdr:col>
      <xdr:colOff>190500</xdr:colOff>
      <xdr:row>83</xdr:row>
      <xdr:rowOff>104775</xdr:rowOff>
    </xdr:to>
    <xdr:sp macro="" textlink="">
      <xdr:nvSpPr>
        <xdr:cNvPr id="218" name="AutoShape 103" descr="https://1portodos.com.br/ResidencialVillage/images/proibido-preto.svg">
          <a:extLst>
            <a:ext uri="{FF2B5EF4-FFF2-40B4-BE49-F238E27FC236}">
              <a16:creationId xmlns:a16="http://schemas.microsoft.com/office/drawing/2014/main" id="{6C2ABC64-D0EF-45D4-AD7B-21EE18C07FB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5615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226</xdr:row>
      <xdr:rowOff>0</xdr:rowOff>
    </xdr:from>
    <xdr:to>
      <xdr:col>8</xdr:col>
      <xdr:colOff>190500</xdr:colOff>
      <xdr:row>227</xdr:row>
      <xdr:rowOff>142875</xdr:rowOff>
    </xdr:to>
    <xdr:sp macro="" textlink="">
      <xdr:nvSpPr>
        <xdr:cNvPr id="219" name="AutoShape 104" descr="https://1portodos.com.br/ResidencialVillage/images/proibido-preto.svg">
          <a:extLst>
            <a:ext uri="{FF2B5EF4-FFF2-40B4-BE49-F238E27FC236}">
              <a16:creationId xmlns:a16="http://schemas.microsoft.com/office/drawing/2014/main" id="{E8B30064-A72A-4D5D-9FA3-BD9D884F0D1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1575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246</xdr:row>
      <xdr:rowOff>495300</xdr:rowOff>
    </xdr:from>
    <xdr:to>
      <xdr:col>8</xdr:col>
      <xdr:colOff>190500</xdr:colOff>
      <xdr:row>248</xdr:row>
      <xdr:rowOff>142875</xdr:rowOff>
    </xdr:to>
    <xdr:sp macro="" textlink="">
      <xdr:nvSpPr>
        <xdr:cNvPr id="220" name="AutoShape 105" descr="https://1portodos.com.br/ResidencialVillage/images/proibido-preto.svg">
          <a:extLst>
            <a:ext uri="{FF2B5EF4-FFF2-40B4-BE49-F238E27FC236}">
              <a16:creationId xmlns:a16="http://schemas.microsoft.com/office/drawing/2014/main" id="{1F99FDD7-3023-40C6-B1D8-43AF727B6AD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6680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246</xdr:row>
      <xdr:rowOff>1000125</xdr:rowOff>
    </xdr:from>
    <xdr:to>
      <xdr:col>8</xdr:col>
      <xdr:colOff>190500</xdr:colOff>
      <xdr:row>248</xdr:row>
      <xdr:rowOff>142875</xdr:rowOff>
    </xdr:to>
    <xdr:sp macro="" textlink="">
      <xdr:nvSpPr>
        <xdr:cNvPr id="221" name="AutoShape 106" descr="https://1portodos.com.br/ResidencialVillage/images/proibido-preto.svg">
          <a:extLst>
            <a:ext uri="{FF2B5EF4-FFF2-40B4-BE49-F238E27FC236}">
              <a16:creationId xmlns:a16="http://schemas.microsoft.com/office/drawing/2014/main" id="{302163B0-EC8F-40C5-9974-AAB520C55AF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36680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299</xdr:row>
      <xdr:rowOff>0</xdr:rowOff>
    </xdr:from>
    <xdr:to>
      <xdr:col>8</xdr:col>
      <xdr:colOff>190500</xdr:colOff>
      <xdr:row>300</xdr:row>
      <xdr:rowOff>9525</xdr:rowOff>
    </xdr:to>
    <xdr:sp macro="" textlink="">
      <xdr:nvSpPr>
        <xdr:cNvPr id="222" name="AutoShape 77" descr="https://1portodos.com.br/ResidencialVillage/images/proibido-preto.svg">
          <a:extLst>
            <a:ext uri="{FF2B5EF4-FFF2-40B4-BE49-F238E27FC236}">
              <a16:creationId xmlns:a16="http://schemas.microsoft.com/office/drawing/2014/main" id="{D3D50F74-3930-4775-BD33-48FF21DC2EE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98062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311</xdr:row>
      <xdr:rowOff>9525</xdr:rowOff>
    </xdr:from>
    <xdr:to>
      <xdr:col>8</xdr:col>
      <xdr:colOff>190500</xdr:colOff>
      <xdr:row>312</xdr:row>
      <xdr:rowOff>152400</xdr:rowOff>
    </xdr:to>
    <xdr:sp macro="" textlink="">
      <xdr:nvSpPr>
        <xdr:cNvPr id="223" name="AutoShape 78" descr="https://1portodos.com.br/ResidencialVillage/images/proibido-preto.svg">
          <a:extLst>
            <a:ext uri="{FF2B5EF4-FFF2-40B4-BE49-F238E27FC236}">
              <a16:creationId xmlns:a16="http://schemas.microsoft.com/office/drawing/2014/main" id="{917D8DBA-DD2A-4E2C-9707-FE9BCD7C0B4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2882800"/>
          <a:ext cx="1905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295</xdr:row>
      <xdr:rowOff>19050</xdr:rowOff>
    </xdr:from>
    <xdr:to>
      <xdr:col>8</xdr:col>
      <xdr:colOff>190500</xdr:colOff>
      <xdr:row>296</xdr:row>
      <xdr:rowOff>28575</xdr:rowOff>
    </xdr:to>
    <xdr:sp macro="" textlink="">
      <xdr:nvSpPr>
        <xdr:cNvPr id="224" name="AutoShape 79" descr="https://1portodos.com.br/ResidencialVillage/images/proibido-preto.svg">
          <a:extLst>
            <a:ext uri="{FF2B5EF4-FFF2-40B4-BE49-F238E27FC236}">
              <a16:creationId xmlns:a16="http://schemas.microsoft.com/office/drawing/2014/main" id="{1742369B-81EB-4873-8981-AB888523390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8796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322</xdr:row>
      <xdr:rowOff>28575</xdr:rowOff>
    </xdr:from>
    <xdr:to>
      <xdr:col>8</xdr:col>
      <xdr:colOff>190500</xdr:colOff>
      <xdr:row>323</xdr:row>
      <xdr:rowOff>38100</xdr:rowOff>
    </xdr:to>
    <xdr:sp macro="" textlink="">
      <xdr:nvSpPr>
        <xdr:cNvPr id="225" name="AutoShape 80" descr="https://1portodos.com.br/ResidencialVillage/images/proibido-preto.svg">
          <a:extLst>
            <a:ext uri="{FF2B5EF4-FFF2-40B4-BE49-F238E27FC236}">
              <a16:creationId xmlns:a16="http://schemas.microsoft.com/office/drawing/2014/main" id="{08952A6B-3492-4E58-9F97-7EA68A7F8D1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60260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317</xdr:row>
      <xdr:rowOff>38100</xdr:rowOff>
    </xdr:from>
    <xdr:to>
      <xdr:col>8</xdr:col>
      <xdr:colOff>190500</xdr:colOff>
      <xdr:row>318</xdr:row>
      <xdr:rowOff>180975</xdr:rowOff>
    </xdr:to>
    <xdr:sp macro="" textlink="">
      <xdr:nvSpPr>
        <xdr:cNvPr id="226" name="AutoShape 81" descr="https://1portodos.com.br/ResidencialVillage/images/proibido-preto.svg">
          <a:extLst>
            <a:ext uri="{FF2B5EF4-FFF2-40B4-BE49-F238E27FC236}">
              <a16:creationId xmlns:a16="http://schemas.microsoft.com/office/drawing/2014/main" id="{EBFB4692-60CF-4499-B93D-2C81064AB8E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45687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325</xdr:row>
      <xdr:rowOff>47625</xdr:rowOff>
    </xdr:from>
    <xdr:to>
      <xdr:col>8</xdr:col>
      <xdr:colOff>190500</xdr:colOff>
      <xdr:row>326</xdr:row>
      <xdr:rowOff>19050</xdr:rowOff>
    </xdr:to>
    <xdr:sp macro="" textlink="">
      <xdr:nvSpPr>
        <xdr:cNvPr id="227" name="AutoShape 82" descr="https://1portodos.com.br/ResidencialVillage/images/proibido-preto.svg">
          <a:extLst>
            <a:ext uri="{FF2B5EF4-FFF2-40B4-BE49-F238E27FC236}">
              <a16:creationId xmlns:a16="http://schemas.microsoft.com/office/drawing/2014/main" id="{1D6F2442-E637-4BFC-B8FA-E0B2D721241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6616600"/>
          <a:ext cx="1905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332</xdr:row>
      <xdr:rowOff>57150</xdr:rowOff>
    </xdr:from>
    <xdr:to>
      <xdr:col>8</xdr:col>
      <xdr:colOff>190500</xdr:colOff>
      <xdr:row>333</xdr:row>
      <xdr:rowOff>209550</xdr:rowOff>
    </xdr:to>
    <xdr:sp macro="" textlink="">
      <xdr:nvSpPr>
        <xdr:cNvPr id="228" name="AutoShape 83" descr="https://1portodos.com.br/ResidencialVillage/images/proibido-preto.svg">
          <a:extLst>
            <a:ext uri="{FF2B5EF4-FFF2-40B4-BE49-F238E27FC236}">
              <a16:creationId xmlns:a16="http://schemas.microsoft.com/office/drawing/2014/main" id="{5C785159-703C-43C6-B199-4B859454A08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8473975"/>
          <a:ext cx="1905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287</xdr:row>
      <xdr:rowOff>66675</xdr:rowOff>
    </xdr:from>
    <xdr:to>
      <xdr:col>8</xdr:col>
      <xdr:colOff>190500</xdr:colOff>
      <xdr:row>288</xdr:row>
      <xdr:rowOff>76200</xdr:rowOff>
    </xdr:to>
    <xdr:sp macro="" textlink="">
      <xdr:nvSpPr>
        <xdr:cNvPr id="229" name="AutoShape 84" descr="https://1portodos.com.br/ResidencialVillage/images/proibido-preto.svg">
          <a:extLst>
            <a:ext uri="{FF2B5EF4-FFF2-40B4-BE49-F238E27FC236}">
              <a16:creationId xmlns:a16="http://schemas.microsoft.com/office/drawing/2014/main" id="{C800EDCD-701C-4D3A-9423-C6C15FDB074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70535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338</xdr:row>
      <xdr:rowOff>76200</xdr:rowOff>
    </xdr:from>
    <xdr:to>
      <xdr:col>8</xdr:col>
      <xdr:colOff>190500</xdr:colOff>
      <xdr:row>339</xdr:row>
      <xdr:rowOff>19050</xdr:rowOff>
    </xdr:to>
    <xdr:sp macro="" textlink="">
      <xdr:nvSpPr>
        <xdr:cNvPr id="230" name="AutoShape 85" descr="https://1portodos.com.br/ResidencialVillage/images/proibido-preto.svg">
          <a:extLst>
            <a:ext uri="{FF2B5EF4-FFF2-40B4-BE49-F238E27FC236}">
              <a16:creationId xmlns:a16="http://schemas.microsoft.com/office/drawing/2014/main" id="{D1B67317-6106-4D22-9E76-0F4F4DE1EB2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9902725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333</xdr:row>
      <xdr:rowOff>85725</xdr:rowOff>
    </xdr:from>
    <xdr:to>
      <xdr:col>8</xdr:col>
      <xdr:colOff>190500</xdr:colOff>
      <xdr:row>334</xdr:row>
      <xdr:rowOff>104775</xdr:rowOff>
    </xdr:to>
    <xdr:sp macro="" textlink="">
      <xdr:nvSpPr>
        <xdr:cNvPr id="231" name="AutoShape 86" descr="https://1portodos.com.br/ResidencialVillage/images/proibido-preto.svg">
          <a:extLst>
            <a:ext uri="{FF2B5EF4-FFF2-40B4-BE49-F238E27FC236}">
              <a16:creationId xmlns:a16="http://schemas.microsoft.com/office/drawing/2014/main" id="{438C1A96-50F3-4BDF-AFA0-DE69E5C214E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8826400"/>
          <a:ext cx="190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323</xdr:row>
      <xdr:rowOff>95250</xdr:rowOff>
    </xdr:from>
    <xdr:to>
      <xdr:col>8</xdr:col>
      <xdr:colOff>190500</xdr:colOff>
      <xdr:row>324</xdr:row>
      <xdr:rowOff>19050</xdr:rowOff>
    </xdr:to>
    <xdr:sp macro="" textlink="">
      <xdr:nvSpPr>
        <xdr:cNvPr id="232" name="AutoShape 87" descr="https://1portodos.com.br/ResidencialVillage/images/proibido-preto.svg">
          <a:extLst>
            <a:ext uri="{FF2B5EF4-FFF2-40B4-BE49-F238E27FC236}">
              <a16:creationId xmlns:a16="http://schemas.microsoft.com/office/drawing/2014/main" id="{1D260C6D-5018-48F6-9927-53108FAF4DE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6283225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</xdr:row>
      <xdr:rowOff>104775</xdr:rowOff>
    </xdr:from>
    <xdr:to>
      <xdr:col>8</xdr:col>
      <xdr:colOff>190500</xdr:colOff>
      <xdr:row>48</xdr:row>
      <xdr:rowOff>19050</xdr:rowOff>
    </xdr:to>
    <xdr:sp macro="" textlink="">
      <xdr:nvSpPr>
        <xdr:cNvPr id="233" name="AutoShape 88" descr="https://1portodos.com.br/ResidencialVillage/images/proibido-preto.svg">
          <a:extLst>
            <a:ext uri="{FF2B5EF4-FFF2-40B4-BE49-F238E27FC236}">
              <a16:creationId xmlns:a16="http://schemas.microsoft.com/office/drawing/2014/main" id="{BCFE287F-8E1C-4263-8BE5-BEB396291EC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0693300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64</xdr:row>
      <xdr:rowOff>114300</xdr:rowOff>
    </xdr:from>
    <xdr:to>
      <xdr:col>8</xdr:col>
      <xdr:colOff>190500</xdr:colOff>
      <xdr:row>65</xdr:row>
      <xdr:rowOff>123825</xdr:rowOff>
    </xdr:to>
    <xdr:sp macro="" textlink="">
      <xdr:nvSpPr>
        <xdr:cNvPr id="234" name="AutoShape 89" descr="https://1portodos.com.br/ResidencialVillage/images/proibido-preto.svg">
          <a:extLst>
            <a:ext uri="{FF2B5EF4-FFF2-40B4-BE49-F238E27FC236}">
              <a16:creationId xmlns:a16="http://schemas.microsoft.com/office/drawing/2014/main" id="{6033D7CC-2E6C-4438-8940-0FFC7EC09FA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52164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65</xdr:row>
      <xdr:rowOff>123825</xdr:rowOff>
    </xdr:from>
    <xdr:to>
      <xdr:col>8</xdr:col>
      <xdr:colOff>190500</xdr:colOff>
      <xdr:row>66</xdr:row>
      <xdr:rowOff>133350</xdr:rowOff>
    </xdr:to>
    <xdr:sp macro="" textlink="">
      <xdr:nvSpPr>
        <xdr:cNvPr id="235" name="AutoShape 90" descr="https://1portodos.com.br/ResidencialVillage/images/proibido-preto.svg">
          <a:extLst>
            <a:ext uri="{FF2B5EF4-FFF2-40B4-BE49-F238E27FC236}">
              <a16:creationId xmlns:a16="http://schemas.microsoft.com/office/drawing/2014/main" id="{D65AA151-2EEB-416C-B8C6-6B41D4DB2F0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50354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284</xdr:row>
      <xdr:rowOff>133350</xdr:rowOff>
    </xdr:from>
    <xdr:to>
      <xdr:col>8</xdr:col>
      <xdr:colOff>190500</xdr:colOff>
      <xdr:row>285</xdr:row>
      <xdr:rowOff>19050</xdr:rowOff>
    </xdr:to>
    <xdr:sp macro="" textlink="">
      <xdr:nvSpPr>
        <xdr:cNvPr id="236" name="AutoShape 91" descr="https://1portodos.com.br/ResidencialVillage/images/proibido-preto.svg">
          <a:extLst>
            <a:ext uri="{FF2B5EF4-FFF2-40B4-BE49-F238E27FC236}">
              <a16:creationId xmlns:a16="http://schemas.microsoft.com/office/drawing/2014/main" id="{DEB192FE-8F7B-47E4-AA23-6E53300FE85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6548675"/>
          <a:ext cx="1905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302</xdr:row>
      <xdr:rowOff>142875</xdr:rowOff>
    </xdr:from>
    <xdr:to>
      <xdr:col>8</xdr:col>
      <xdr:colOff>190500</xdr:colOff>
      <xdr:row>303</xdr:row>
      <xdr:rowOff>19050</xdr:rowOff>
    </xdr:to>
    <xdr:sp macro="" textlink="">
      <xdr:nvSpPr>
        <xdr:cNvPr id="237" name="AutoShape 92" descr="https://1portodos.com.br/ResidencialVillage/images/proibido-preto.svg">
          <a:extLst>
            <a:ext uri="{FF2B5EF4-FFF2-40B4-BE49-F238E27FC236}">
              <a16:creationId xmlns:a16="http://schemas.microsoft.com/office/drawing/2014/main" id="{7F8F56ED-14F6-4299-8139-8EEC8A6C9E2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0711100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337</xdr:row>
      <xdr:rowOff>152400</xdr:rowOff>
    </xdr:from>
    <xdr:to>
      <xdr:col>8</xdr:col>
      <xdr:colOff>190500</xdr:colOff>
      <xdr:row>338</xdr:row>
      <xdr:rowOff>161925</xdr:rowOff>
    </xdr:to>
    <xdr:sp macro="" textlink="">
      <xdr:nvSpPr>
        <xdr:cNvPr id="238" name="AutoShape 93" descr="https://1portodos.com.br/ResidencialVillage/images/proibido-preto.svg">
          <a:extLst>
            <a:ext uri="{FF2B5EF4-FFF2-40B4-BE49-F238E27FC236}">
              <a16:creationId xmlns:a16="http://schemas.microsoft.com/office/drawing/2014/main" id="{7DE536B8-1A5D-4AAB-8D38-4BF1B2BFBFD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97884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339</xdr:row>
      <xdr:rowOff>161925</xdr:rowOff>
    </xdr:from>
    <xdr:to>
      <xdr:col>8</xdr:col>
      <xdr:colOff>190500</xdr:colOff>
      <xdr:row>340</xdr:row>
      <xdr:rowOff>38100</xdr:rowOff>
    </xdr:to>
    <xdr:sp macro="" textlink="">
      <xdr:nvSpPr>
        <xdr:cNvPr id="239" name="AutoShape 94" descr="https://1portodos.com.br/ResidencialVillage/images/proibido-preto.svg">
          <a:extLst>
            <a:ext uri="{FF2B5EF4-FFF2-40B4-BE49-F238E27FC236}">
              <a16:creationId xmlns:a16="http://schemas.microsoft.com/office/drawing/2014/main" id="{6A38D2BB-744B-493E-A165-537AC06842E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0178950"/>
          <a:ext cx="190500" cy="6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341</xdr:row>
      <xdr:rowOff>171450</xdr:rowOff>
    </xdr:from>
    <xdr:to>
      <xdr:col>8</xdr:col>
      <xdr:colOff>190500</xdr:colOff>
      <xdr:row>342</xdr:row>
      <xdr:rowOff>180975</xdr:rowOff>
    </xdr:to>
    <xdr:sp macro="" textlink="">
      <xdr:nvSpPr>
        <xdr:cNvPr id="240" name="AutoShape 95" descr="https://1portodos.com.br/ResidencialVillage/images/proibido-preto.svg">
          <a:extLst>
            <a:ext uri="{FF2B5EF4-FFF2-40B4-BE49-F238E27FC236}">
              <a16:creationId xmlns:a16="http://schemas.microsoft.com/office/drawing/2014/main" id="{33DBD63C-13E3-44B6-9068-FFA869D23EC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0569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301</xdr:row>
      <xdr:rowOff>180975</xdr:rowOff>
    </xdr:from>
    <xdr:to>
      <xdr:col>8</xdr:col>
      <xdr:colOff>190500</xdr:colOff>
      <xdr:row>303</xdr:row>
      <xdr:rowOff>0</xdr:rowOff>
    </xdr:to>
    <xdr:sp macro="" textlink="">
      <xdr:nvSpPr>
        <xdr:cNvPr id="241" name="AutoShape 96" descr="https://1portodos.com.br/ResidencialVillage/images/proibido-preto.svg">
          <a:extLst>
            <a:ext uri="{FF2B5EF4-FFF2-40B4-BE49-F238E27FC236}">
              <a16:creationId xmlns:a16="http://schemas.microsoft.com/office/drawing/2014/main" id="{64112690-A1E5-4C3C-A68C-7DDC92B9D28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05587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344</xdr:row>
      <xdr:rowOff>190500</xdr:rowOff>
    </xdr:from>
    <xdr:to>
      <xdr:col>8</xdr:col>
      <xdr:colOff>190500</xdr:colOff>
      <xdr:row>346</xdr:row>
      <xdr:rowOff>19050</xdr:rowOff>
    </xdr:to>
    <xdr:sp macro="" textlink="">
      <xdr:nvSpPr>
        <xdr:cNvPr id="242" name="AutoShape 97" descr="https://1portodos.com.br/ResidencialVillage/images/proibido-preto.svg">
          <a:extLst>
            <a:ext uri="{FF2B5EF4-FFF2-40B4-BE49-F238E27FC236}">
              <a16:creationId xmlns:a16="http://schemas.microsoft.com/office/drawing/2014/main" id="{2E0696D7-8EB6-45CC-A357-1E266B7AAB5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1541025"/>
          <a:ext cx="190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326</xdr:row>
      <xdr:rowOff>200025</xdr:rowOff>
    </xdr:from>
    <xdr:to>
      <xdr:col>8</xdr:col>
      <xdr:colOff>190500</xdr:colOff>
      <xdr:row>328</xdr:row>
      <xdr:rowOff>9525</xdr:rowOff>
    </xdr:to>
    <xdr:sp macro="" textlink="">
      <xdr:nvSpPr>
        <xdr:cNvPr id="243" name="AutoShape 98" descr="https://1portodos.com.br/ResidencialVillage/images/proibido-preto.svg">
          <a:extLst>
            <a:ext uri="{FF2B5EF4-FFF2-40B4-BE49-F238E27FC236}">
              <a16:creationId xmlns:a16="http://schemas.microsoft.com/office/drawing/2014/main" id="{1AD83ECC-C3CF-43D5-8A37-A6CD24248D2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7140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288</xdr:row>
      <xdr:rowOff>209550</xdr:rowOff>
    </xdr:from>
    <xdr:to>
      <xdr:col>8</xdr:col>
      <xdr:colOff>190500</xdr:colOff>
      <xdr:row>290</xdr:row>
      <xdr:rowOff>9525</xdr:rowOff>
    </xdr:to>
    <xdr:sp macro="" textlink="">
      <xdr:nvSpPr>
        <xdr:cNvPr id="244" name="AutoShape 99" descr="https://1portodos.com.br/ResidencialVillage/images/proibido-preto.svg">
          <a:extLst>
            <a:ext uri="{FF2B5EF4-FFF2-40B4-BE49-F238E27FC236}">
              <a16:creationId xmlns:a16="http://schemas.microsoft.com/office/drawing/2014/main" id="{0A8661BF-3D39-44B8-817A-DF559FE9DAA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7367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290</xdr:row>
      <xdr:rowOff>219075</xdr:rowOff>
    </xdr:from>
    <xdr:to>
      <xdr:col>8</xdr:col>
      <xdr:colOff>190500</xdr:colOff>
      <xdr:row>292</xdr:row>
      <xdr:rowOff>133350</xdr:rowOff>
    </xdr:to>
    <xdr:sp macro="" textlink="">
      <xdr:nvSpPr>
        <xdr:cNvPr id="245" name="AutoShape 100" descr="https://1portodos.com.br/ResidencialVillage/images/proibido-preto.svg">
          <a:extLst>
            <a:ext uri="{FF2B5EF4-FFF2-40B4-BE49-F238E27FC236}">
              <a16:creationId xmlns:a16="http://schemas.microsoft.com/office/drawing/2014/main" id="{BDE76F9F-BF3D-471C-8968-0211827486B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7777400"/>
          <a:ext cx="190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305</xdr:row>
      <xdr:rowOff>228600</xdr:rowOff>
    </xdr:from>
    <xdr:to>
      <xdr:col>8</xdr:col>
      <xdr:colOff>190500</xdr:colOff>
      <xdr:row>307</xdr:row>
      <xdr:rowOff>152400</xdr:rowOff>
    </xdr:to>
    <xdr:sp macro="" textlink="">
      <xdr:nvSpPr>
        <xdr:cNvPr id="246" name="AutoShape 101" descr="https://1portodos.com.br/ResidencialVillage/images/proibido-preto.svg">
          <a:extLst>
            <a:ext uri="{FF2B5EF4-FFF2-40B4-BE49-F238E27FC236}">
              <a16:creationId xmlns:a16="http://schemas.microsoft.com/office/drawing/2014/main" id="{6EB2DBBC-EB45-4423-B8CC-B8B92C35C1B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1368325"/>
          <a:ext cx="190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306</xdr:row>
      <xdr:rowOff>238125</xdr:rowOff>
    </xdr:from>
    <xdr:to>
      <xdr:col>8</xdr:col>
      <xdr:colOff>190500</xdr:colOff>
      <xdr:row>307</xdr:row>
      <xdr:rowOff>95250</xdr:rowOff>
    </xdr:to>
    <xdr:sp macro="" textlink="">
      <xdr:nvSpPr>
        <xdr:cNvPr id="247" name="AutoShape 102" descr="https://1portodos.com.br/ResidencialVillage/images/proibido-preto.svg">
          <a:extLst>
            <a:ext uri="{FF2B5EF4-FFF2-40B4-BE49-F238E27FC236}">
              <a16:creationId xmlns:a16="http://schemas.microsoft.com/office/drawing/2014/main" id="{A74FA1EA-A88F-48D0-971E-75797ACBE62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197792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297</xdr:row>
      <xdr:rowOff>247650</xdr:rowOff>
    </xdr:from>
    <xdr:to>
      <xdr:col>8</xdr:col>
      <xdr:colOff>190500</xdr:colOff>
      <xdr:row>299</xdr:row>
      <xdr:rowOff>19050</xdr:rowOff>
    </xdr:to>
    <xdr:sp macro="" textlink="">
      <xdr:nvSpPr>
        <xdr:cNvPr id="248" name="AutoShape 103" descr="https://1portodos.com.br/ResidencialVillage/images/proibido-preto.svg">
          <a:extLst>
            <a:ext uri="{FF2B5EF4-FFF2-40B4-BE49-F238E27FC236}">
              <a16:creationId xmlns:a16="http://schemas.microsoft.com/office/drawing/2014/main" id="{95768E0D-28C6-4355-8922-F21084F684E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9539525"/>
          <a:ext cx="190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309</xdr:row>
      <xdr:rowOff>257175</xdr:rowOff>
    </xdr:from>
    <xdr:to>
      <xdr:col>8</xdr:col>
      <xdr:colOff>190500</xdr:colOff>
      <xdr:row>311</xdr:row>
      <xdr:rowOff>9525</xdr:rowOff>
    </xdr:to>
    <xdr:sp macro="" textlink="">
      <xdr:nvSpPr>
        <xdr:cNvPr id="249" name="AutoShape 104" descr="https://1portodos.com.br/ResidencialVillage/images/proibido-preto.svg">
          <a:extLst>
            <a:ext uri="{FF2B5EF4-FFF2-40B4-BE49-F238E27FC236}">
              <a16:creationId xmlns:a16="http://schemas.microsoft.com/office/drawing/2014/main" id="{74EDF6EA-26F4-44DD-818C-024289D7A4C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2682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342</xdr:row>
      <xdr:rowOff>266700</xdr:rowOff>
    </xdr:from>
    <xdr:to>
      <xdr:col>8</xdr:col>
      <xdr:colOff>190500</xdr:colOff>
      <xdr:row>344</xdr:row>
      <xdr:rowOff>76200</xdr:rowOff>
    </xdr:to>
    <xdr:sp macro="" textlink="">
      <xdr:nvSpPr>
        <xdr:cNvPr id="250" name="AutoShape 105" descr="https://1portodos.com.br/ResidencialVillage/images/proibido-preto.svg">
          <a:extLst>
            <a:ext uri="{FF2B5EF4-FFF2-40B4-BE49-F238E27FC236}">
              <a16:creationId xmlns:a16="http://schemas.microsoft.com/office/drawing/2014/main" id="{1EB23247-FB73-46B7-8EA6-BAF7C14E170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0969525"/>
          <a:ext cx="1905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319</xdr:row>
      <xdr:rowOff>276225</xdr:rowOff>
    </xdr:from>
    <xdr:to>
      <xdr:col>8</xdr:col>
      <xdr:colOff>190500</xdr:colOff>
      <xdr:row>321</xdr:row>
      <xdr:rowOff>9525</xdr:rowOff>
    </xdr:to>
    <xdr:sp macro="" textlink="">
      <xdr:nvSpPr>
        <xdr:cNvPr id="251" name="AutoShape 106" descr="https://1portodos.com.br/ResidencialVillage/images/proibido-preto.svg">
          <a:extLst>
            <a:ext uri="{FF2B5EF4-FFF2-40B4-BE49-F238E27FC236}">
              <a16:creationId xmlns:a16="http://schemas.microsoft.com/office/drawing/2014/main" id="{F68FE7E7-2068-41E6-9226-0F9BA429AEB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5483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285750</xdr:rowOff>
    </xdr:from>
    <xdr:to>
      <xdr:col>8</xdr:col>
      <xdr:colOff>190500</xdr:colOff>
      <xdr:row>25</xdr:row>
      <xdr:rowOff>9525</xdr:rowOff>
    </xdr:to>
    <xdr:sp macro="" textlink="">
      <xdr:nvSpPr>
        <xdr:cNvPr id="252" name="AutoShape 107" descr="https://1portodos.com.br/ResidencialVillage/images/proibido-preto.svg">
          <a:extLst>
            <a:ext uri="{FF2B5EF4-FFF2-40B4-BE49-F238E27FC236}">
              <a16:creationId xmlns:a16="http://schemas.microsoft.com/office/drawing/2014/main" id="{4A26DB4E-460D-4BFA-8E9E-3EE5E495149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3578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303</xdr:row>
      <xdr:rowOff>295275</xdr:rowOff>
    </xdr:from>
    <xdr:to>
      <xdr:col>8</xdr:col>
      <xdr:colOff>190500</xdr:colOff>
      <xdr:row>304</xdr:row>
      <xdr:rowOff>152400</xdr:rowOff>
    </xdr:to>
    <xdr:sp macro="" textlink="">
      <xdr:nvSpPr>
        <xdr:cNvPr id="253" name="AutoShape 108" descr="https://1portodos.com.br/ResidencialVillage/images/proibido-preto.svg">
          <a:extLst>
            <a:ext uri="{FF2B5EF4-FFF2-40B4-BE49-F238E27FC236}">
              <a16:creationId xmlns:a16="http://schemas.microsoft.com/office/drawing/2014/main" id="{24B3B4BE-6C9D-40F4-B786-0EBDB7A2160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0949225"/>
          <a:ext cx="1905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69</xdr:row>
      <xdr:rowOff>304800</xdr:rowOff>
    </xdr:from>
    <xdr:to>
      <xdr:col>8</xdr:col>
      <xdr:colOff>190500</xdr:colOff>
      <xdr:row>71</xdr:row>
      <xdr:rowOff>9525</xdr:rowOff>
    </xdr:to>
    <xdr:sp macro="" textlink="">
      <xdr:nvSpPr>
        <xdr:cNvPr id="254" name="AutoShape 109" descr="https://1portodos.com.br/ResidencialVillage/images/proibido-preto.svg">
          <a:extLst>
            <a:ext uri="{FF2B5EF4-FFF2-40B4-BE49-F238E27FC236}">
              <a16:creationId xmlns:a16="http://schemas.microsoft.com/office/drawing/2014/main" id="{0B8DBE02-2162-4462-B6D7-0BAB3BA9260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7330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335</xdr:row>
      <xdr:rowOff>314325</xdr:rowOff>
    </xdr:from>
    <xdr:to>
      <xdr:col>8</xdr:col>
      <xdr:colOff>190500</xdr:colOff>
      <xdr:row>337</xdr:row>
      <xdr:rowOff>9525</xdr:rowOff>
    </xdr:to>
    <xdr:sp macro="" textlink="">
      <xdr:nvSpPr>
        <xdr:cNvPr id="255" name="AutoShape 110" descr="https://1portodos.com.br/ResidencialVillage/images/proibido-preto.svg">
          <a:extLst>
            <a:ext uri="{FF2B5EF4-FFF2-40B4-BE49-F238E27FC236}">
              <a16:creationId xmlns:a16="http://schemas.microsoft.com/office/drawing/2014/main" id="{E71AC505-1C10-4F3F-9DCF-6DBB98AB8EC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9445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330</xdr:row>
      <xdr:rowOff>323850</xdr:rowOff>
    </xdr:from>
    <xdr:to>
      <xdr:col>8</xdr:col>
      <xdr:colOff>190500</xdr:colOff>
      <xdr:row>331</xdr:row>
      <xdr:rowOff>180975</xdr:rowOff>
    </xdr:to>
    <xdr:sp macro="" textlink="">
      <xdr:nvSpPr>
        <xdr:cNvPr id="256" name="AutoShape 111" descr="https://1portodos.com.br/ResidencialVillage/images/proibido-preto.svg">
          <a:extLst>
            <a:ext uri="{FF2B5EF4-FFF2-40B4-BE49-F238E27FC236}">
              <a16:creationId xmlns:a16="http://schemas.microsoft.com/office/drawing/2014/main" id="{EC987B91-117F-4DCE-B6E5-90E3B39B8FB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8226325"/>
          <a:ext cx="190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314</xdr:row>
      <xdr:rowOff>333375</xdr:rowOff>
    </xdr:from>
    <xdr:to>
      <xdr:col>8</xdr:col>
      <xdr:colOff>190500</xdr:colOff>
      <xdr:row>316</xdr:row>
      <xdr:rowOff>9525</xdr:rowOff>
    </xdr:to>
    <xdr:sp macro="" textlink="">
      <xdr:nvSpPr>
        <xdr:cNvPr id="257" name="AutoShape 112" descr="https://1portodos.com.br/ResidencialVillage/images/proibido-preto.svg">
          <a:extLst>
            <a:ext uri="{FF2B5EF4-FFF2-40B4-BE49-F238E27FC236}">
              <a16:creationId xmlns:a16="http://schemas.microsoft.com/office/drawing/2014/main" id="{F769F245-0893-4432-9419-FECE2BB1BE8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4149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</xdr:row>
      <xdr:rowOff>342900</xdr:rowOff>
    </xdr:from>
    <xdr:to>
      <xdr:col>8</xdr:col>
      <xdr:colOff>190500</xdr:colOff>
      <xdr:row>55</xdr:row>
      <xdr:rowOff>9525</xdr:rowOff>
    </xdr:to>
    <xdr:sp macro="" textlink="">
      <xdr:nvSpPr>
        <xdr:cNvPr id="258" name="AutoShape 113" descr="https://1portodos.com.br/ResidencialVillage/images/proibido-preto.svg">
          <a:extLst>
            <a:ext uri="{FF2B5EF4-FFF2-40B4-BE49-F238E27FC236}">
              <a16:creationId xmlns:a16="http://schemas.microsoft.com/office/drawing/2014/main" id="{1AE27887-65F3-4D67-BB1E-6728BDD0C24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5843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327</xdr:row>
      <xdr:rowOff>352425</xdr:rowOff>
    </xdr:from>
    <xdr:to>
      <xdr:col>8</xdr:col>
      <xdr:colOff>190500</xdr:colOff>
      <xdr:row>329</xdr:row>
      <xdr:rowOff>9525</xdr:rowOff>
    </xdr:to>
    <xdr:sp macro="" textlink="">
      <xdr:nvSpPr>
        <xdr:cNvPr id="259" name="AutoShape 114" descr="https://1portodos.com.br/ResidencialVillage/images/proibido-preto.svg">
          <a:extLst>
            <a:ext uri="{FF2B5EF4-FFF2-40B4-BE49-F238E27FC236}">
              <a16:creationId xmlns:a16="http://schemas.microsoft.com/office/drawing/2014/main" id="{188AD847-8D4A-43E2-84D7-8C84F70DC52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7521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293</xdr:row>
      <xdr:rowOff>361950</xdr:rowOff>
    </xdr:from>
    <xdr:to>
      <xdr:col>8</xdr:col>
      <xdr:colOff>190500</xdr:colOff>
      <xdr:row>295</xdr:row>
      <xdr:rowOff>9525</xdr:rowOff>
    </xdr:to>
    <xdr:sp macro="" textlink="">
      <xdr:nvSpPr>
        <xdr:cNvPr id="260" name="AutoShape 115" descr="https://1portodos.com.br/ResidencialVillage/images/proibido-preto.svg">
          <a:extLst>
            <a:ext uri="{FF2B5EF4-FFF2-40B4-BE49-F238E27FC236}">
              <a16:creationId xmlns:a16="http://schemas.microsoft.com/office/drawing/2014/main" id="{EBCC84D5-8A16-41F7-B43C-F0765FFD805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85870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</xdr:row>
      <xdr:rowOff>371475</xdr:rowOff>
    </xdr:from>
    <xdr:to>
      <xdr:col>8</xdr:col>
      <xdr:colOff>190500</xdr:colOff>
      <xdr:row>21</xdr:row>
      <xdr:rowOff>200025</xdr:rowOff>
    </xdr:to>
    <xdr:sp macro="" textlink="">
      <xdr:nvSpPr>
        <xdr:cNvPr id="261" name="AutoShape 116" descr="https://1portodos.com.br/ResidencialVillage/images/proibido-preto.svg">
          <a:extLst>
            <a:ext uri="{FF2B5EF4-FFF2-40B4-BE49-F238E27FC236}">
              <a16:creationId xmlns:a16="http://schemas.microsoft.com/office/drawing/2014/main" id="{0595ACAD-7F19-4330-8062-E1A9CB092B8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3959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304</xdr:row>
      <xdr:rowOff>381000</xdr:rowOff>
    </xdr:from>
    <xdr:to>
      <xdr:col>8</xdr:col>
      <xdr:colOff>190500</xdr:colOff>
      <xdr:row>306</xdr:row>
      <xdr:rowOff>9525</xdr:rowOff>
    </xdr:to>
    <xdr:sp macro="" textlink="">
      <xdr:nvSpPr>
        <xdr:cNvPr id="262" name="AutoShape 117" descr="https://1portodos.com.br/ResidencialVillage/images/proibido-preto.svg">
          <a:extLst>
            <a:ext uri="{FF2B5EF4-FFF2-40B4-BE49-F238E27FC236}">
              <a16:creationId xmlns:a16="http://schemas.microsoft.com/office/drawing/2014/main" id="{136F2E81-F743-4842-BFBA-D3E4E136182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11397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294</xdr:row>
      <xdr:rowOff>390525</xdr:rowOff>
    </xdr:from>
    <xdr:to>
      <xdr:col>8</xdr:col>
      <xdr:colOff>190500</xdr:colOff>
      <xdr:row>296</xdr:row>
      <xdr:rowOff>9525</xdr:rowOff>
    </xdr:to>
    <xdr:sp macro="" textlink="">
      <xdr:nvSpPr>
        <xdr:cNvPr id="263" name="AutoShape 118" descr="https://1portodos.com.br/ResidencialVillage/images/proibido-preto.svg">
          <a:extLst>
            <a:ext uri="{FF2B5EF4-FFF2-40B4-BE49-F238E27FC236}">
              <a16:creationId xmlns:a16="http://schemas.microsoft.com/office/drawing/2014/main" id="{99432261-02D4-46ED-A5B9-B80017EDEBD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8777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291</xdr:row>
      <xdr:rowOff>400050</xdr:rowOff>
    </xdr:from>
    <xdr:to>
      <xdr:col>8</xdr:col>
      <xdr:colOff>190500</xdr:colOff>
      <xdr:row>293</xdr:row>
      <xdr:rowOff>9525</xdr:rowOff>
    </xdr:to>
    <xdr:sp macro="" textlink="">
      <xdr:nvSpPr>
        <xdr:cNvPr id="264" name="AutoShape 119" descr="https://1portodos.com.br/ResidencialVillage/images/proibido-preto.svg">
          <a:extLst>
            <a:ext uri="{FF2B5EF4-FFF2-40B4-BE49-F238E27FC236}">
              <a16:creationId xmlns:a16="http://schemas.microsoft.com/office/drawing/2014/main" id="{12D63940-A8A9-4EC8-B5A5-7BE659FDFE6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8072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331</xdr:row>
      <xdr:rowOff>409575</xdr:rowOff>
    </xdr:from>
    <xdr:to>
      <xdr:col>8</xdr:col>
      <xdr:colOff>190500</xdr:colOff>
      <xdr:row>333</xdr:row>
      <xdr:rowOff>9525</xdr:rowOff>
    </xdr:to>
    <xdr:sp macro="" textlink="">
      <xdr:nvSpPr>
        <xdr:cNvPr id="265" name="AutoShape 120" descr="https://1portodos.com.br/ResidencialVillage/images/proibido-preto.svg">
          <a:extLst>
            <a:ext uri="{FF2B5EF4-FFF2-40B4-BE49-F238E27FC236}">
              <a16:creationId xmlns:a16="http://schemas.microsoft.com/office/drawing/2014/main" id="{1F9F2323-1B42-4D45-B187-309FD658D36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84168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318</xdr:row>
      <xdr:rowOff>419100</xdr:rowOff>
    </xdr:from>
    <xdr:to>
      <xdr:col>8</xdr:col>
      <xdr:colOff>190500</xdr:colOff>
      <xdr:row>320</xdr:row>
      <xdr:rowOff>9525</xdr:rowOff>
    </xdr:to>
    <xdr:sp macro="" textlink="">
      <xdr:nvSpPr>
        <xdr:cNvPr id="266" name="AutoShape 121" descr="https://1portodos.com.br/ResidencialVillage/images/proibido-preto.svg">
          <a:extLst>
            <a:ext uri="{FF2B5EF4-FFF2-40B4-BE49-F238E27FC236}">
              <a16:creationId xmlns:a16="http://schemas.microsoft.com/office/drawing/2014/main" id="{7F8059DF-F3CA-40C0-9B3A-3F358DEF22D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4911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320</xdr:row>
      <xdr:rowOff>428625</xdr:rowOff>
    </xdr:from>
    <xdr:to>
      <xdr:col>8</xdr:col>
      <xdr:colOff>190500</xdr:colOff>
      <xdr:row>322</xdr:row>
      <xdr:rowOff>9525</xdr:rowOff>
    </xdr:to>
    <xdr:sp macro="" textlink="">
      <xdr:nvSpPr>
        <xdr:cNvPr id="267" name="AutoShape 122" descr="https://1portodos.com.br/ResidencialVillage/images/proibido-preto.svg">
          <a:extLst>
            <a:ext uri="{FF2B5EF4-FFF2-40B4-BE49-F238E27FC236}">
              <a16:creationId xmlns:a16="http://schemas.microsoft.com/office/drawing/2014/main" id="{4D94943B-ECD5-4999-9558-4E25630ED5D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5673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329</xdr:row>
      <xdr:rowOff>438150</xdr:rowOff>
    </xdr:from>
    <xdr:to>
      <xdr:col>8</xdr:col>
      <xdr:colOff>190500</xdr:colOff>
      <xdr:row>331</xdr:row>
      <xdr:rowOff>9525</xdr:rowOff>
    </xdr:to>
    <xdr:sp macro="" textlink="">
      <xdr:nvSpPr>
        <xdr:cNvPr id="268" name="AutoShape 123" descr="https://1portodos.com.br/ResidencialVillage/images/proibido-preto.svg">
          <a:extLst>
            <a:ext uri="{FF2B5EF4-FFF2-40B4-BE49-F238E27FC236}">
              <a16:creationId xmlns:a16="http://schemas.microsoft.com/office/drawing/2014/main" id="{0F93C073-6DDC-41A5-BBC8-F9937A584A4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8035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328</xdr:row>
      <xdr:rowOff>447675</xdr:rowOff>
    </xdr:from>
    <xdr:to>
      <xdr:col>8</xdr:col>
      <xdr:colOff>190500</xdr:colOff>
      <xdr:row>330</xdr:row>
      <xdr:rowOff>9525</xdr:rowOff>
    </xdr:to>
    <xdr:sp macro="" textlink="">
      <xdr:nvSpPr>
        <xdr:cNvPr id="269" name="AutoShape 124" descr="https://1portodos.com.br/ResidencialVillage/images/proibido-preto.svg">
          <a:extLst>
            <a:ext uri="{FF2B5EF4-FFF2-40B4-BE49-F238E27FC236}">
              <a16:creationId xmlns:a16="http://schemas.microsoft.com/office/drawing/2014/main" id="{EF6D1490-0046-4407-80A3-88DB96B7D67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7711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72</xdr:row>
      <xdr:rowOff>457200</xdr:rowOff>
    </xdr:from>
    <xdr:to>
      <xdr:col>8</xdr:col>
      <xdr:colOff>190500</xdr:colOff>
      <xdr:row>74</xdr:row>
      <xdr:rowOff>9525</xdr:rowOff>
    </xdr:to>
    <xdr:sp macro="" textlink="">
      <xdr:nvSpPr>
        <xdr:cNvPr id="270" name="AutoShape 125" descr="https://1portodos.com.br/ResidencialVillage/images/proibido-preto.svg">
          <a:extLst>
            <a:ext uri="{FF2B5EF4-FFF2-40B4-BE49-F238E27FC236}">
              <a16:creationId xmlns:a16="http://schemas.microsoft.com/office/drawing/2014/main" id="{F3B3A4BA-B7FB-43FD-805C-358ADDECC76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6224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308</xdr:row>
      <xdr:rowOff>466725</xdr:rowOff>
    </xdr:from>
    <xdr:to>
      <xdr:col>8</xdr:col>
      <xdr:colOff>190500</xdr:colOff>
      <xdr:row>310</xdr:row>
      <xdr:rowOff>9525</xdr:rowOff>
    </xdr:to>
    <xdr:sp macro="" textlink="">
      <xdr:nvSpPr>
        <xdr:cNvPr id="271" name="AutoShape 126" descr="https://1portodos.com.br/ResidencialVillage/images/proibido-preto.svg">
          <a:extLst>
            <a:ext uri="{FF2B5EF4-FFF2-40B4-BE49-F238E27FC236}">
              <a16:creationId xmlns:a16="http://schemas.microsoft.com/office/drawing/2014/main" id="{3C5DA80C-FC81-432C-A8E9-D9D907C990E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2492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298</xdr:row>
      <xdr:rowOff>476250</xdr:rowOff>
    </xdr:from>
    <xdr:to>
      <xdr:col>8</xdr:col>
      <xdr:colOff>190500</xdr:colOff>
      <xdr:row>300</xdr:row>
      <xdr:rowOff>9525</xdr:rowOff>
    </xdr:to>
    <xdr:sp macro="" textlink="">
      <xdr:nvSpPr>
        <xdr:cNvPr id="272" name="AutoShape 127" descr="https://1portodos.com.br/ResidencialVillage/images/proibido-preto.svg">
          <a:extLst>
            <a:ext uri="{FF2B5EF4-FFF2-40B4-BE49-F238E27FC236}">
              <a16:creationId xmlns:a16="http://schemas.microsoft.com/office/drawing/2014/main" id="{176AF9DE-D676-431A-907A-6965199D277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98062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485775</xdr:rowOff>
    </xdr:from>
    <xdr:to>
      <xdr:col>8</xdr:col>
      <xdr:colOff>190500</xdr:colOff>
      <xdr:row>7</xdr:row>
      <xdr:rowOff>9525</xdr:rowOff>
    </xdr:to>
    <xdr:sp macro="" textlink="">
      <xdr:nvSpPr>
        <xdr:cNvPr id="273" name="AutoShape 128" descr="https://1portodos.com.br/ResidencialVillage/images/proibido-preto.svg">
          <a:extLst>
            <a:ext uri="{FF2B5EF4-FFF2-40B4-BE49-F238E27FC236}">
              <a16:creationId xmlns:a16="http://schemas.microsoft.com/office/drawing/2014/main" id="{03BA73CE-7B4E-4870-A700-6D404F5A57B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01872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</xdr:row>
      <xdr:rowOff>495300</xdr:rowOff>
    </xdr:from>
    <xdr:to>
      <xdr:col>8</xdr:col>
      <xdr:colOff>190500</xdr:colOff>
      <xdr:row>46</xdr:row>
      <xdr:rowOff>9525</xdr:rowOff>
    </xdr:to>
    <xdr:sp macro="" textlink="">
      <xdr:nvSpPr>
        <xdr:cNvPr id="274" name="AutoShape 129" descr="https://1portodos.com.br/ResidencialVillage/images/proibido-preto.svg">
          <a:extLst>
            <a:ext uri="{FF2B5EF4-FFF2-40B4-BE49-F238E27FC236}">
              <a16:creationId xmlns:a16="http://schemas.microsoft.com/office/drawing/2014/main" id="{E9039643-B075-48E3-ADF6-150C44C68CD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17874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315</xdr:row>
      <xdr:rowOff>9525</xdr:rowOff>
    </xdr:from>
    <xdr:to>
      <xdr:col>8</xdr:col>
      <xdr:colOff>190500</xdr:colOff>
      <xdr:row>316</xdr:row>
      <xdr:rowOff>19050</xdr:rowOff>
    </xdr:to>
    <xdr:sp macro="" textlink="">
      <xdr:nvSpPr>
        <xdr:cNvPr id="275" name="AutoShape 130" descr="https://1portodos.com.br/ResidencialVillage/images/proibido-preto.svg">
          <a:extLst>
            <a:ext uri="{FF2B5EF4-FFF2-40B4-BE49-F238E27FC236}">
              <a16:creationId xmlns:a16="http://schemas.microsoft.com/office/drawing/2014/main" id="{81A80853-D227-4C04-A7CD-D9C318C9339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41591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315</xdr:row>
      <xdr:rowOff>514350</xdr:rowOff>
    </xdr:from>
    <xdr:to>
      <xdr:col>8</xdr:col>
      <xdr:colOff>190500</xdr:colOff>
      <xdr:row>317</xdr:row>
      <xdr:rowOff>9525</xdr:rowOff>
    </xdr:to>
    <xdr:sp macro="" textlink="">
      <xdr:nvSpPr>
        <xdr:cNvPr id="276" name="AutoShape 131" descr="https://1portodos.com.br/ResidencialVillage/images/proibido-preto.svg">
          <a:extLst>
            <a:ext uri="{FF2B5EF4-FFF2-40B4-BE49-F238E27FC236}">
              <a16:creationId xmlns:a16="http://schemas.microsoft.com/office/drawing/2014/main" id="{14B8E57A-26A3-457D-819D-3F3E15EF7AF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4340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286</xdr:row>
      <xdr:rowOff>523875</xdr:rowOff>
    </xdr:from>
    <xdr:to>
      <xdr:col>8</xdr:col>
      <xdr:colOff>190500</xdr:colOff>
      <xdr:row>288</xdr:row>
      <xdr:rowOff>9525</xdr:rowOff>
    </xdr:to>
    <xdr:sp macro="" textlink="">
      <xdr:nvSpPr>
        <xdr:cNvPr id="277" name="AutoShape 132" descr="https://1portodos.com.br/ResidencialVillage/images/proibido-preto.svg">
          <a:extLst>
            <a:ext uri="{FF2B5EF4-FFF2-40B4-BE49-F238E27FC236}">
              <a16:creationId xmlns:a16="http://schemas.microsoft.com/office/drawing/2014/main" id="{77AE22D1-5087-4F6E-8695-2F6EDDB0CB2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6986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</xdr:row>
      <xdr:rowOff>533400</xdr:rowOff>
    </xdr:from>
    <xdr:to>
      <xdr:col>8</xdr:col>
      <xdr:colOff>190500</xdr:colOff>
      <xdr:row>26</xdr:row>
      <xdr:rowOff>9525</xdr:rowOff>
    </xdr:to>
    <xdr:sp macro="" textlink="">
      <xdr:nvSpPr>
        <xdr:cNvPr id="278" name="AutoShape 133" descr="https://1portodos.com.br/ResidencialVillage/images/proibido-preto.svg">
          <a:extLst>
            <a:ext uri="{FF2B5EF4-FFF2-40B4-BE49-F238E27FC236}">
              <a16:creationId xmlns:a16="http://schemas.microsoft.com/office/drawing/2014/main" id="{58E2A5BF-FFE8-4C98-818C-561FC09D3B6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6949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324</xdr:row>
      <xdr:rowOff>47625</xdr:rowOff>
    </xdr:from>
    <xdr:to>
      <xdr:col>8</xdr:col>
      <xdr:colOff>190500</xdr:colOff>
      <xdr:row>325</xdr:row>
      <xdr:rowOff>57150</xdr:rowOff>
    </xdr:to>
    <xdr:sp macro="" textlink="">
      <xdr:nvSpPr>
        <xdr:cNvPr id="279" name="AutoShape 134" descr="https://1portodos.com.br/ResidencialVillage/images/proibido-preto.svg">
          <a:extLst>
            <a:ext uri="{FF2B5EF4-FFF2-40B4-BE49-F238E27FC236}">
              <a16:creationId xmlns:a16="http://schemas.microsoft.com/office/drawing/2014/main" id="{4A8113D7-F830-4F7D-A8A7-6958347AB50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64261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324</xdr:row>
      <xdr:rowOff>552450</xdr:rowOff>
    </xdr:from>
    <xdr:to>
      <xdr:col>8</xdr:col>
      <xdr:colOff>190500</xdr:colOff>
      <xdr:row>326</xdr:row>
      <xdr:rowOff>9525</xdr:rowOff>
    </xdr:to>
    <xdr:sp macro="" textlink="">
      <xdr:nvSpPr>
        <xdr:cNvPr id="280" name="AutoShape 135" descr="https://1portodos.com.br/ResidencialVillage/images/proibido-preto.svg">
          <a:extLst>
            <a:ext uri="{FF2B5EF4-FFF2-40B4-BE49-F238E27FC236}">
              <a16:creationId xmlns:a16="http://schemas.microsoft.com/office/drawing/2014/main" id="{F3C50395-5EC5-4289-9558-5C0188D2523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6568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316</xdr:row>
      <xdr:rowOff>561975</xdr:rowOff>
    </xdr:from>
    <xdr:to>
      <xdr:col>8</xdr:col>
      <xdr:colOff>190500</xdr:colOff>
      <xdr:row>318</xdr:row>
      <xdr:rowOff>9525</xdr:rowOff>
    </xdr:to>
    <xdr:sp macro="" textlink="">
      <xdr:nvSpPr>
        <xdr:cNvPr id="281" name="AutoShape 136" descr="https://1portodos.com.br/ResidencialVillage/images/proibido-preto.svg">
          <a:extLst>
            <a:ext uri="{FF2B5EF4-FFF2-40B4-BE49-F238E27FC236}">
              <a16:creationId xmlns:a16="http://schemas.microsoft.com/office/drawing/2014/main" id="{22C54617-A528-40FA-B064-4F897F863B9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4530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289</xdr:row>
      <xdr:rowOff>571500</xdr:rowOff>
    </xdr:from>
    <xdr:to>
      <xdr:col>8</xdr:col>
      <xdr:colOff>190500</xdr:colOff>
      <xdr:row>291</xdr:row>
      <xdr:rowOff>9525</xdr:rowOff>
    </xdr:to>
    <xdr:sp macro="" textlink="">
      <xdr:nvSpPr>
        <xdr:cNvPr id="282" name="AutoShape 137" descr="https://1portodos.com.br/ResidencialVillage/images/proibido-preto.svg">
          <a:extLst>
            <a:ext uri="{FF2B5EF4-FFF2-40B4-BE49-F238E27FC236}">
              <a16:creationId xmlns:a16="http://schemas.microsoft.com/office/drawing/2014/main" id="{CB8CA1F0-0409-4A2A-A043-78B4108C7B2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75583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310</xdr:row>
      <xdr:rowOff>581025</xdr:rowOff>
    </xdr:from>
    <xdr:to>
      <xdr:col>8</xdr:col>
      <xdr:colOff>190500</xdr:colOff>
      <xdr:row>312</xdr:row>
      <xdr:rowOff>9525</xdr:rowOff>
    </xdr:to>
    <xdr:sp macro="" textlink="">
      <xdr:nvSpPr>
        <xdr:cNvPr id="283" name="AutoShape 138" descr="https://1portodos.com.br/ResidencialVillage/images/proibido-preto.svg">
          <a:extLst>
            <a:ext uri="{FF2B5EF4-FFF2-40B4-BE49-F238E27FC236}">
              <a16:creationId xmlns:a16="http://schemas.microsoft.com/office/drawing/2014/main" id="{997B4353-AA7E-4958-8F23-8377F8E2D84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28732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321</xdr:row>
      <xdr:rowOff>590550</xdr:rowOff>
    </xdr:from>
    <xdr:to>
      <xdr:col>8</xdr:col>
      <xdr:colOff>190500</xdr:colOff>
      <xdr:row>323</xdr:row>
      <xdr:rowOff>9525</xdr:rowOff>
    </xdr:to>
    <xdr:sp macro="" textlink="">
      <xdr:nvSpPr>
        <xdr:cNvPr id="284" name="AutoShape 139" descr="https://1portodos.com.br/ResidencialVillage/images/proibido-preto.svg">
          <a:extLst>
            <a:ext uri="{FF2B5EF4-FFF2-40B4-BE49-F238E27FC236}">
              <a16:creationId xmlns:a16="http://schemas.microsoft.com/office/drawing/2014/main" id="{386C607A-5735-48D7-BA14-07773E73A1B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5997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336</xdr:row>
      <xdr:rowOff>600075</xdr:rowOff>
    </xdr:from>
    <xdr:to>
      <xdr:col>8</xdr:col>
      <xdr:colOff>190500</xdr:colOff>
      <xdr:row>338</xdr:row>
      <xdr:rowOff>9525</xdr:rowOff>
    </xdr:to>
    <xdr:sp macro="" textlink="">
      <xdr:nvSpPr>
        <xdr:cNvPr id="285" name="AutoShape 140" descr="https://1portodos.com.br/ResidencialVillage/images/proibido-preto.svg">
          <a:extLst>
            <a:ext uri="{FF2B5EF4-FFF2-40B4-BE49-F238E27FC236}">
              <a16:creationId xmlns:a16="http://schemas.microsoft.com/office/drawing/2014/main" id="{8F3B6E4B-8C00-43B5-9C30-03E815D5E44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96360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340</xdr:row>
      <xdr:rowOff>609600</xdr:rowOff>
    </xdr:from>
    <xdr:to>
      <xdr:col>8</xdr:col>
      <xdr:colOff>190500</xdr:colOff>
      <xdr:row>342</xdr:row>
      <xdr:rowOff>9525</xdr:rowOff>
    </xdr:to>
    <xdr:sp macro="" textlink="">
      <xdr:nvSpPr>
        <xdr:cNvPr id="286" name="AutoShape 141" descr="https://1portodos.com.br/ResidencialVillage/images/proibido-preto.svg">
          <a:extLst>
            <a:ext uri="{FF2B5EF4-FFF2-40B4-BE49-F238E27FC236}">
              <a16:creationId xmlns:a16="http://schemas.microsoft.com/office/drawing/2014/main" id="{4E214203-95F2-4197-9B38-09441DEE567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03980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312</xdr:row>
      <xdr:rowOff>619125</xdr:rowOff>
    </xdr:from>
    <xdr:to>
      <xdr:col>8</xdr:col>
      <xdr:colOff>190500</xdr:colOff>
      <xdr:row>314</xdr:row>
      <xdr:rowOff>9525</xdr:rowOff>
    </xdr:to>
    <xdr:sp macro="" textlink="">
      <xdr:nvSpPr>
        <xdr:cNvPr id="287" name="AutoShape 142" descr="https://1portodos.com.br/ResidencialVillage/images/proibido-preto.svg">
          <a:extLst>
            <a:ext uri="{FF2B5EF4-FFF2-40B4-BE49-F238E27FC236}">
              <a16:creationId xmlns:a16="http://schemas.microsoft.com/office/drawing/2014/main" id="{5D097CBA-3D05-4D01-9472-00B377750B7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3387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296</xdr:row>
      <xdr:rowOff>628650</xdr:rowOff>
    </xdr:from>
    <xdr:to>
      <xdr:col>8</xdr:col>
      <xdr:colOff>190500</xdr:colOff>
      <xdr:row>297</xdr:row>
      <xdr:rowOff>200025</xdr:rowOff>
    </xdr:to>
    <xdr:sp macro="" textlink="">
      <xdr:nvSpPr>
        <xdr:cNvPr id="288" name="AutoShape 143" descr="https://1portodos.com.br/ResidencialVillage/images/proibido-preto.svg">
          <a:extLst>
            <a:ext uri="{FF2B5EF4-FFF2-40B4-BE49-F238E27FC236}">
              <a16:creationId xmlns:a16="http://schemas.microsoft.com/office/drawing/2014/main" id="{7D1B68FA-FFE7-4BBB-BB56-394F44525E9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92918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292</xdr:row>
      <xdr:rowOff>638175</xdr:rowOff>
    </xdr:from>
    <xdr:to>
      <xdr:col>8</xdr:col>
      <xdr:colOff>190500</xdr:colOff>
      <xdr:row>294</xdr:row>
      <xdr:rowOff>9525</xdr:rowOff>
    </xdr:to>
    <xdr:sp macro="" textlink="">
      <xdr:nvSpPr>
        <xdr:cNvPr id="289" name="AutoShape 144" descr="https://1portodos.com.br/ResidencialVillage/images/proibido-preto.svg">
          <a:extLst>
            <a:ext uri="{FF2B5EF4-FFF2-40B4-BE49-F238E27FC236}">
              <a16:creationId xmlns:a16="http://schemas.microsoft.com/office/drawing/2014/main" id="{7160A9E4-AB25-4C64-BFD4-5066BBF881F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8396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307</xdr:row>
      <xdr:rowOff>0</xdr:rowOff>
    </xdr:from>
    <xdr:to>
      <xdr:col>8</xdr:col>
      <xdr:colOff>190500</xdr:colOff>
      <xdr:row>307</xdr:row>
      <xdr:rowOff>200025</xdr:rowOff>
    </xdr:to>
    <xdr:sp macro="" textlink="">
      <xdr:nvSpPr>
        <xdr:cNvPr id="290" name="AutoShape 146" descr="https://1portodos.com.br/ResidencialVillage/images/proibido-preto.svg">
          <a:extLst>
            <a:ext uri="{FF2B5EF4-FFF2-40B4-BE49-F238E27FC236}">
              <a16:creationId xmlns:a16="http://schemas.microsoft.com/office/drawing/2014/main" id="{232B79CD-24F0-4B7F-9ECE-AB63454B8A3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19779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307</xdr:row>
      <xdr:rowOff>666750</xdr:rowOff>
    </xdr:from>
    <xdr:to>
      <xdr:col>8</xdr:col>
      <xdr:colOff>190500</xdr:colOff>
      <xdr:row>309</xdr:row>
      <xdr:rowOff>9525</xdr:rowOff>
    </xdr:to>
    <xdr:sp macro="" textlink="">
      <xdr:nvSpPr>
        <xdr:cNvPr id="291" name="AutoShape 147" descr="https://1portodos.com.br/ResidencialVillage/images/proibido-preto.svg">
          <a:extLst>
            <a:ext uri="{FF2B5EF4-FFF2-40B4-BE49-F238E27FC236}">
              <a16:creationId xmlns:a16="http://schemas.microsoft.com/office/drawing/2014/main" id="{9A8ED5B6-14A4-4729-8EDE-8F0069ED90D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2301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</xdr:row>
      <xdr:rowOff>676275</xdr:rowOff>
    </xdr:from>
    <xdr:to>
      <xdr:col>8</xdr:col>
      <xdr:colOff>190500</xdr:colOff>
      <xdr:row>56</xdr:row>
      <xdr:rowOff>9525</xdr:rowOff>
    </xdr:to>
    <xdr:sp macro="" textlink="">
      <xdr:nvSpPr>
        <xdr:cNvPr id="292" name="AutoShape 148" descr="https://1portodos.com.br/ResidencialVillage/images/proibido-preto.svg">
          <a:extLst>
            <a:ext uri="{FF2B5EF4-FFF2-40B4-BE49-F238E27FC236}">
              <a16:creationId xmlns:a16="http://schemas.microsoft.com/office/drawing/2014/main" id="{3D2EBECA-B6FF-47E7-AB3F-D738C60ADE8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64153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313</xdr:row>
      <xdr:rowOff>28575</xdr:rowOff>
    </xdr:from>
    <xdr:to>
      <xdr:col>8</xdr:col>
      <xdr:colOff>190500</xdr:colOff>
      <xdr:row>314</xdr:row>
      <xdr:rowOff>38100</xdr:rowOff>
    </xdr:to>
    <xdr:sp macro="" textlink="">
      <xdr:nvSpPr>
        <xdr:cNvPr id="293" name="AutoShape 149" descr="https://1portodos.com.br/ResidencialVillage/images/proibido-preto.svg">
          <a:extLst>
            <a:ext uri="{FF2B5EF4-FFF2-40B4-BE49-F238E27FC236}">
              <a16:creationId xmlns:a16="http://schemas.microsoft.com/office/drawing/2014/main" id="{7BB67D32-54B8-4A7E-82A7-8EFE2DE47C5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36067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313</xdr:row>
      <xdr:rowOff>695325</xdr:rowOff>
    </xdr:from>
    <xdr:to>
      <xdr:col>8</xdr:col>
      <xdr:colOff>190500</xdr:colOff>
      <xdr:row>315</xdr:row>
      <xdr:rowOff>9525</xdr:rowOff>
    </xdr:to>
    <xdr:sp macro="" textlink="">
      <xdr:nvSpPr>
        <xdr:cNvPr id="294" name="AutoShape 150" descr="https://1portodos.com.br/ResidencialVillage/images/proibido-preto.svg">
          <a:extLst>
            <a:ext uri="{FF2B5EF4-FFF2-40B4-BE49-F238E27FC236}">
              <a16:creationId xmlns:a16="http://schemas.microsoft.com/office/drawing/2014/main" id="{7603FA65-3459-4579-B48D-728D4A7C865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3768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285</xdr:row>
      <xdr:rowOff>704850</xdr:rowOff>
    </xdr:from>
    <xdr:to>
      <xdr:col>8</xdr:col>
      <xdr:colOff>190500</xdr:colOff>
      <xdr:row>287</xdr:row>
      <xdr:rowOff>9525</xdr:rowOff>
    </xdr:to>
    <xdr:sp macro="" textlink="">
      <xdr:nvSpPr>
        <xdr:cNvPr id="295" name="AutoShape 151" descr="https://1portodos.com.br/ResidencialVillage/images/proibido-preto.svg">
          <a:extLst>
            <a:ext uri="{FF2B5EF4-FFF2-40B4-BE49-F238E27FC236}">
              <a16:creationId xmlns:a16="http://schemas.microsoft.com/office/drawing/2014/main" id="{AF4AB246-31A3-40B6-94EC-8C2AA370C01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467963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300</xdr:row>
      <xdr:rowOff>714375</xdr:rowOff>
    </xdr:from>
    <xdr:to>
      <xdr:col>8</xdr:col>
      <xdr:colOff>190500</xdr:colOff>
      <xdr:row>302</xdr:row>
      <xdr:rowOff>9525</xdr:rowOff>
    </xdr:to>
    <xdr:sp macro="" textlink="">
      <xdr:nvSpPr>
        <xdr:cNvPr id="296" name="AutoShape 152" descr="https://1portodos.com.br/ResidencialVillage/images/proibido-preto.svg">
          <a:extLst>
            <a:ext uri="{FF2B5EF4-FFF2-40B4-BE49-F238E27FC236}">
              <a16:creationId xmlns:a16="http://schemas.microsoft.com/office/drawing/2014/main" id="{889D2C5E-E96B-42F9-853A-BA99113C8E6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503777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383</xdr:row>
      <xdr:rowOff>0</xdr:rowOff>
    </xdr:from>
    <xdr:to>
      <xdr:col>8</xdr:col>
      <xdr:colOff>190500</xdr:colOff>
      <xdr:row>384</xdr:row>
      <xdr:rowOff>142875</xdr:rowOff>
    </xdr:to>
    <xdr:sp macro="" textlink="">
      <xdr:nvSpPr>
        <xdr:cNvPr id="297" name="AutoShape 59" descr="https://1portodos.com.br/ResidencialVillage/images/proibido-preto.svg">
          <a:extLst>
            <a:ext uri="{FF2B5EF4-FFF2-40B4-BE49-F238E27FC236}">
              <a16:creationId xmlns:a16="http://schemas.microsoft.com/office/drawing/2014/main" id="{9AF5C61A-1034-47C4-8AC4-361E3C1E7DF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10279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361</xdr:row>
      <xdr:rowOff>9525</xdr:rowOff>
    </xdr:from>
    <xdr:to>
      <xdr:col>8</xdr:col>
      <xdr:colOff>190500</xdr:colOff>
      <xdr:row>362</xdr:row>
      <xdr:rowOff>152400</xdr:rowOff>
    </xdr:to>
    <xdr:sp macro="" textlink="">
      <xdr:nvSpPr>
        <xdr:cNvPr id="298" name="AutoShape 60" descr="https://1portodos.com.br/ResidencialVillage/images/proibido-preto.svg">
          <a:extLst>
            <a:ext uri="{FF2B5EF4-FFF2-40B4-BE49-F238E27FC236}">
              <a16:creationId xmlns:a16="http://schemas.microsoft.com/office/drawing/2014/main" id="{F917F9CA-0D06-4AD3-A5CF-8C88BB88843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54939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368</xdr:row>
      <xdr:rowOff>19050</xdr:rowOff>
    </xdr:from>
    <xdr:to>
      <xdr:col>8</xdr:col>
      <xdr:colOff>190500</xdr:colOff>
      <xdr:row>369</xdr:row>
      <xdr:rowOff>161925</xdr:rowOff>
    </xdr:to>
    <xdr:sp macro="" textlink="">
      <xdr:nvSpPr>
        <xdr:cNvPr id="299" name="AutoShape 61" descr="https://1portodos.com.br/ResidencialVillage/images/proibido-preto.svg">
          <a:extLst>
            <a:ext uri="{FF2B5EF4-FFF2-40B4-BE49-F238E27FC236}">
              <a16:creationId xmlns:a16="http://schemas.microsoft.com/office/drawing/2014/main" id="{FCB92E77-BC53-47EE-B1F6-2FBF7BCBEA6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7160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353</xdr:row>
      <xdr:rowOff>28575</xdr:rowOff>
    </xdr:from>
    <xdr:to>
      <xdr:col>8</xdr:col>
      <xdr:colOff>190500</xdr:colOff>
      <xdr:row>354</xdr:row>
      <xdr:rowOff>171450</xdr:rowOff>
    </xdr:to>
    <xdr:sp macro="" textlink="">
      <xdr:nvSpPr>
        <xdr:cNvPr id="300" name="AutoShape 62" descr="https://1portodos.com.br/ResidencialVillage/images/proibido-preto.svg">
          <a:extLst>
            <a:ext uri="{FF2B5EF4-FFF2-40B4-BE49-F238E27FC236}">
              <a16:creationId xmlns:a16="http://schemas.microsoft.com/office/drawing/2014/main" id="{AB9A07E7-BAD2-40BF-9C83-3B89DC78C25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36079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374</xdr:row>
      <xdr:rowOff>38100</xdr:rowOff>
    </xdr:from>
    <xdr:to>
      <xdr:col>8</xdr:col>
      <xdr:colOff>190500</xdr:colOff>
      <xdr:row>375</xdr:row>
      <xdr:rowOff>180975</xdr:rowOff>
    </xdr:to>
    <xdr:sp macro="" textlink="">
      <xdr:nvSpPr>
        <xdr:cNvPr id="301" name="AutoShape 63" descr="https://1portodos.com.br/ResidencialVillage/images/proibido-preto.svg">
          <a:extLst>
            <a:ext uri="{FF2B5EF4-FFF2-40B4-BE49-F238E27FC236}">
              <a16:creationId xmlns:a16="http://schemas.microsoft.com/office/drawing/2014/main" id="{67FB99EB-BD26-40C7-B66B-A8B77691E49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9027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384</xdr:row>
      <xdr:rowOff>47625</xdr:rowOff>
    </xdr:from>
    <xdr:to>
      <xdr:col>8</xdr:col>
      <xdr:colOff>190500</xdr:colOff>
      <xdr:row>386</xdr:row>
      <xdr:rowOff>0</xdr:rowOff>
    </xdr:to>
    <xdr:sp macro="" textlink="">
      <xdr:nvSpPr>
        <xdr:cNvPr id="302" name="AutoShape 64" descr="https://1portodos.com.br/ResidencialVillage/images/proibido-preto.svg">
          <a:extLst>
            <a:ext uri="{FF2B5EF4-FFF2-40B4-BE49-F238E27FC236}">
              <a16:creationId xmlns:a16="http://schemas.microsoft.com/office/drawing/2014/main" id="{E29BC659-D103-47F0-B809-9409D8E8709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12660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57150</xdr:rowOff>
    </xdr:from>
    <xdr:to>
      <xdr:col>8</xdr:col>
      <xdr:colOff>190500</xdr:colOff>
      <xdr:row>15</xdr:row>
      <xdr:rowOff>200025</xdr:rowOff>
    </xdr:to>
    <xdr:sp macro="" textlink="">
      <xdr:nvSpPr>
        <xdr:cNvPr id="303" name="AutoShape 65" descr="https://1portodos.com.br/ResidencialVillage/images/proibido-preto.svg">
          <a:extLst>
            <a:ext uri="{FF2B5EF4-FFF2-40B4-BE49-F238E27FC236}">
              <a16:creationId xmlns:a16="http://schemas.microsoft.com/office/drawing/2014/main" id="{C5607E71-3388-4C5B-AFEF-AA9DE09653B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47795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385</xdr:row>
      <xdr:rowOff>66675</xdr:rowOff>
    </xdr:from>
    <xdr:to>
      <xdr:col>8</xdr:col>
      <xdr:colOff>190500</xdr:colOff>
      <xdr:row>387</xdr:row>
      <xdr:rowOff>19050</xdr:rowOff>
    </xdr:to>
    <xdr:sp macro="" textlink="">
      <xdr:nvSpPr>
        <xdr:cNvPr id="304" name="AutoShape 66" descr="https://1portodos.com.br/ResidencialVillage/images/proibido-preto.svg">
          <a:extLst>
            <a:ext uri="{FF2B5EF4-FFF2-40B4-BE49-F238E27FC236}">
              <a16:creationId xmlns:a16="http://schemas.microsoft.com/office/drawing/2014/main" id="{ECDFE52E-2675-4271-8EAF-E8339C8733C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14756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355</xdr:row>
      <xdr:rowOff>76200</xdr:rowOff>
    </xdr:from>
    <xdr:to>
      <xdr:col>8</xdr:col>
      <xdr:colOff>190500</xdr:colOff>
      <xdr:row>357</xdr:row>
      <xdr:rowOff>28575</xdr:rowOff>
    </xdr:to>
    <xdr:sp macro="" textlink="">
      <xdr:nvSpPr>
        <xdr:cNvPr id="305" name="AutoShape 67" descr="https://1portodos.com.br/ResidencialVillage/images/proibido-preto.svg">
          <a:extLst>
            <a:ext uri="{FF2B5EF4-FFF2-40B4-BE49-F238E27FC236}">
              <a16:creationId xmlns:a16="http://schemas.microsoft.com/office/drawing/2014/main" id="{F65557D2-67F0-4218-9B1F-16B3C43FAE7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42270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377</xdr:row>
      <xdr:rowOff>85725</xdr:rowOff>
    </xdr:from>
    <xdr:to>
      <xdr:col>8</xdr:col>
      <xdr:colOff>190500</xdr:colOff>
      <xdr:row>379</xdr:row>
      <xdr:rowOff>38100</xdr:rowOff>
    </xdr:to>
    <xdr:sp macro="" textlink="">
      <xdr:nvSpPr>
        <xdr:cNvPr id="306" name="AutoShape 68" descr="https://1portodos.com.br/ResidencialVillage/images/proibido-preto.svg">
          <a:extLst>
            <a:ext uri="{FF2B5EF4-FFF2-40B4-BE49-F238E27FC236}">
              <a16:creationId xmlns:a16="http://schemas.microsoft.com/office/drawing/2014/main" id="{9D003CC7-7CB0-424A-B86F-4E77580DCB6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96468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359</xdr:row>
      <xdr:rowOff>95250</xdr:rowOff>
    </xdr:from>
    <xdr:to>
      <xdr:col>8</xdr:col>
      <xdr:colOff>190500</xdr:colOff>
      <xdr:row>361</xdr:row>
      <xdr:rowOff>47625</xdr:rowOff>
    </xdr:to>
    <xdr:sp macro="" textlink="">
      <xdr:nvSpPr>
        <xdr:cNvPr id="307" name="AutoShape 69" descr="https://1portodos.com.br/ResidencialVillage/images/proibido-preto.svg">
          <a:extLst>
            <a:ext uri="{FF2B5EF4-FFF2-40B4-BE49-F238E27FC236}">
              <a16:creationId xmlns:a16="http://schemas.microsoft.com/office/drawing/2014/main" id="{A08AB064-B943-48D1-9638-6756F8BFA86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5198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347</xdr:row>
      <xdr:rowOff>104775</xdr:rowOff>
    </xdr:from>
    <xdr:to>
      <xdr:col>8</xdr:col>
      <xdr:colOff>190500</xdr:colOff>
      <xdr:row>349</xdr:row>
      <xdr:rowOff>57150</xdr:rowOff>
    </xdr:to>
    <xdr:sp macro="" textlink="">
      <xdr:nvSpPr>
        <xdr:cNvPr id="308" name="AutoShape 70" descr="https://1portodos.com.br/ResidencialVillage/images/proibido-preto.svg">
          <a:extLst>
            <a:ext uri="{FF2B5EF4-FFF2-40B4-BE49-F238E27FC236}">
              <a16:creationId xmlns:a16="http://schemas.microsoft.com/office/drawing/2014/main" id="{E9AA1C85-706D-49E7-8C18-51DEAD5C7FE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25411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351</xdr:row>
      <xdr:rowOff>114300</xdr:rowOff>
    </xdr:from>
    <xdr:to>
      <xdr:col>8</xdr:col>
      <xdr:colOff>190500</xdr:colOff>
      <xdr:row>353</xdr:row>
      <xdr:rowOff>66675</xdr:rowOff>
    </xdr:to>
    <xdr:sp macro="" textlink="">
      <xdr:nvSpPr>
        <xdr:cNvPr id="309" name="AutoShape 71" descr="https://1portodos.com.br/ResidencialVillage/images/proibido-preto.svg">
          <a:extLst>
            <a:ext uri="{FF2B5EF4-FFF2-40B4-BE49-F238E27FC236}">
              <a16:creationId xmlns:a16="http://schemas.microsoft.com/office/drawing/2014/main" id="{59600870-B385-4422-9E31-3CDC354F280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3312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371</xdr:row>
      <xdr:rowOff>123825</xdr:rowOff>
    </xdr:from>
    <xdr:to>
      <xdr:col>8</xdr:col>
      <xdr:colOff>190500</xdr:colOff>
      <xdr:row>373</xdr:row>
      <xdr:rowOff>76200</xdr:rowOff>
    </xdr:to>
    <xdr:sp macro="" textlink="">
      <xdr:nvSpPr>
        <xdr:cNvPr id="310" name="AutoShape 72" descr="https://1portodos.com.br/ResidencialVillage/images/proibido-preto.svg">
          <a:extLst>
            <a:ext uri="{FF2B5EF4-FFF2-40B4-BE49-F238E27FC236}">
              <a16:creationId xmlns:a16="http://schemas.microsoft.com/office/drawing/2014/main" id="{BE2D91F2-92C2-40F1-A73B-7B2EFDA0784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84085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358</xdr:row>
      <xdr:rowOff>133350</xdr:rowOff>
    </xdr:from>
    <xdr:to>
      <xdr:col>8</xdr:col>
      <xdr:colOff>190500</xdr:colOff>
      <xdr:row>360</xdr:row>
      <xdr:rowOff>85725</xdr:rowOff>
    </xdr:to>
    <xdr:sp macro="" textlink="">
      <xdr:nvSpPr>
        <xdr:cNvPr id="311" name="AutoShape 73" descr="https://1portodos.com.br/ResidencialVillage/images/proibido-preto.svg">
          <a:extLst>
            <a:ext uri="{FF2B5EF4-FFF2-40B4-BE49-F238E27FC236}">
              <a16:creationId xmlns:a16="http://schemas.microsoft.com/office/drawing/2014/main" id="{A10E74C7-6B04-49E3-AF43-F364B223494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5046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380</xdr:row>
      <xdr:rowOff>142875</xdr:rowOff>
    </xdr:from>
    <xdr:to>
      <xdr:col>8</xdr:col>
      <xdr:colOff>190500</xdr:colOff>
      <xdr:row>382</xdr:row>
      <xdr:rowOff>95250</xdr:rowOff>
    </xdr:to>
    <xdr:sp macro="" textlink="">
      <xdr:nvSpPr>
        <xdr:cNvPr id="312" name="AutoShape 74" descr="https://1portodos.com.br/ResidencialVillage/images/proibido-preto.svg">
          <a:extLst>
            <a:ext uri="{FF2B5EF4-FFF2-40B4-BE49-F238E27FC236}">
              <a16:creationId xmlns:a16="http://schemas.microsoft.com/office/drawing/2014/main" id="{FBBB70A2-FB4D-4CE3-A3FE-20428B93EE5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02754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78</xdr:row>
      <xdr:rowOff>152400</xdr:rowOff>
    </xdr:from>
    <xdr:to>
      <xdr:col>8</xdr:col>
      <xdr:colOff>190500</xdr:colOff>
      <xdr:row>80</xdr:row>
      <xdr:rowOff>104775</xdr:rowOff>
    </xdr:to>
    <xdr:sp macro="" textlink="">
      <xdr:nvSpPr>
        <xdr:cNvPr id="313" name="AutoShape 75" descr="https://1portodos.com.br/ResidencialVillage/images/proibido-preto.svg">
          <a:extLst>
            <a:ext uri="{FF2B5EF4-FFF2-40B4-BE49-F238E27FC236}">
              <a16:creationId xmlns:a16="http://schemas.microsoft.com/office/drawing/2014/main" id="{1E0D458A-399E-4615-83B9-8FDBDE2E69D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4112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365</xdr:row>
      <xdr:rowOff>161925</xdr:rowOff>
    </xdr:from>
    <xdr:to>
      <xdr:col>8</xdr:col>
      <xdr:colOff>190500</xdr:colOff>
      <xdr:row>367</xdr:row>
      <xdr:rowOff>114300</xdr:rowOff>
    </xdr:to>
    <xdr:sp macro="" textlink="">
      <xdr:nvSpPr>
        <xdr:cNvPr id="314" name="AutoShape 76" descr="https://1portodos.com.br/ResidencialVillage/images/proibido-preto.svg">
          <a:extLst>
            <a:ext uri="{FF2B5EF4-FFF2-40B4-BE49-F238E27FC236}">
              <a16:creationId xmlns:a16="http://schemas.microsoft.com/office/drawing/2014/main" id="{3D09968C-EFDA-4C70-B14B-2F567A316A0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67321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</xdr:row>
      <xdr:rowOff>171450</xdr:rowOff>
    </xdr:from>
    <xdr:to>
      <xdr:col>8</xdr:col>
      <xdr:colOff>190500</xdr:colOff>
      <xdr:row>51</xdr:row>
      <xdr:rowOff>180975</xdr:rowOff>
    </xdr:to>
    <xdr:sp macro="" textlink="">
      <xdr:nvSpPr>
        <xdr:cNvPr id="315" name="AutoShape 77" descr="https://1portodos.com.br/ResidencialVillage/images/proibido-preto.svg">
          <a:extLst>
            <a:ext uri="{FF2B5EF4-FFF2-40B4-BE49-F238E27FC236}">
              <a16:creationId xmlns:a16="http://schemas.microsoft.com/office/drawing/2014/main" id="{DB0192DE-492E-4704-B020-E13E17264EC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7884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83</xdr:row>
      <xdr:rowOff>180975</xdr:rowOff>
    </xdr:from>
    <xdr:to>
      <xdr:col>8</xdr:col>
      <xdr:colOff>190500</xdr:colOff>
      <xdr:row>85</xdr:row>
      <xdr:rowOff>133350</xdr:rowOff>
    </xdr:to>
    <xdr:sp macro="" textlink="">
      <xdr:nvSpPr>
        <xdr:cNvPr id="316" name="AutoShape 78" descr="https://1portodos.com.br/ResidencialVillage/images/proibido-preto.svg">
          <a:extLst>
            <a:ext uri="{FF2B5EF4-FFF2-40B4-BE49-F238E27FC236}">
              <a16:creationId xmlns:a16="http://schemas.microsoft.com/office/drawing/2014/main" id="{39F0F4C2-8B64-4DD7-B351-30C4AE370A3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58558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190500</xdr:rowOff>
    </xdr:from>
    <xdr:to>
      <xdr:col>8</xdr:col>
      <xdr:colOff>190500</xdr:colOff>
      <xdr:row>6</xdr:row>
      <xdr:rowOff>95250</xdr:rowOff>
    </xdr:to>
    <xdr:sp macro="" textlink="">
      <xdr:nvSpPr>
        <xdr:cNvPr id="317" name="AutoShape 79" descr="https://1portodos.com.br/ResidencialVillage/images/proibido-preto.svg">
          <a:extLst>
            <a:ext uri="{FF2B5EF4-FFF2-40B4-BE49-F238E27FC236}">
              <a16:creationId xmlns:a16="http://schemas.microsoft.com/office/drawing/2014/main" id="{5EE03955-A21D-4547-8C63-693AB13F282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2170925"/>
          <a:ext cx="1905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348</xdr:row>
      <xdr:rowOff>200025</xdr:rowOff>
    </xdr:from>
    <xdr:to>
      <xdr:col>8</xdr:col>
      <xdr:colOff>190500</xdr:colOff>
      <xdr:row>351</xdr:row>
      <xdr:rowOff>85725</xdr:rowOff>
    </xdr:to>
    <xdr:sp macro="" textlink="">
      <xdr:nvSpPr>
        <xdr:cNvPr id="318" name="AutoShape 80" descr="https://1portodos.com.br/ResidencialVillage/images/proibido-preto.svg">
          <a:extLst>
            <a:ext uri="{FF2B5EF4-FFF2-40B4-BE49-F238E27FC236}">
              <a16:creationId xmlns:a16="http://schemas.microsoft.com/office/drawing/2014/main" id="{8D4F1F99-2C1A-41EB-9FF0-93F9D0A6CFF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2817375"/>
          <a:ext cx="1905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356</xdr:row>
      <xdr:rowOff>209550</xdr:rowOff>
    </xdr:from>
    <xdr:to>
      <xdr:col>8</xdr:col>
      <xdr:colOff>190500</xdr:colOff>
      <xdr:row>359</xdr:row>
      <xdr:rowOff>76200</xdr:rowOff>
    </xdr:to>
    <xdr:sp macro="" textlink="">
      <xdr:nvSpPr>
        <xdr:cNvPr id="319" name="AutoShape 81" descr="https://1portodos.com.br/ResidencialVillage/images/proibido-preto.svg">
          <a:extLst>
            <a:ext uri="{FF2B5EF4-FFF2-40B4-BE49-F238E27FC236}">
              <a16:creationId xmlns:a16="http://schemas.microsoft.com/office/drawing/2014/main" id="{D8768808-C26C-4B4E-B8FF-47D8ED7608E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4531875"/>
          <a:ext cx="190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379</xdr:row>
      <xdr:rowOff>219075</xdr:rowOff>
    </xdr:from>
    <xdr:to>
      <xdr:col>8</xdr:col>
      <xdr:colOff>190500</xdr:colOff>
      <xdr:row>382</xdr:row>
      <xdr:rowOff>66675</xdr:rowOff>
    </xdr:to>
    <xdr:sp macro="" textlink="">
      <xdr:nvSpPr>
        <xdr:cNvPr id="320" name="AutoShape 82" descr="https://1portodos.com.br/ResidencialVillage/images/proibido-preto.svg">
          <a:extLst>
            <a:ext uri="{FF2B5EF4-FFF2-40B4-BE49-F238E27FC236}">
              <a16:creationId xmlns:a16="http://schemas.microsoft.com/office/drawing/2014/main" id="{AA5B58D9-0D07-4687-8F9E-BC28BAE0D86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0132575"/>
          <a:ext cx="1905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390</xdr:row>
      <xdr:rowOff>228600</xdr:rowOff>
    </xdr:from>
    <xdr:to>
      <xdr:col>8</xdr:col>
      <xdr:colOff>190500</xdr:colOff>
      <xdr:row>392</xdr:row>
      <xdr:rowOff>114300</xdr:rowOff>
    </xdr:to>
    <xdr:sp macro="" textlink="">
      <xdr:nvSpPr>
        <xdr:cNvPr id="321" name="AutoShape 83" descr="https://1portodos.com.br/ResidencialVillage/images/proibido-preto.svg">
          <a:extLst>
            <a:ext uri="{FF2B5EF4-FFF2-40B4-BE49-F238E27FC236}">
              <a16:creationId xmlns:a16="http://schemas.microsoft.com/office/drawing/2014/main" id="{369E7CC0-D230-4462-A6B8-6805B69CBD2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2932925"/>
          <a:ext cx="190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238125</xdr:rowOff>
    </xdr:from>
    <xdr:to>
      <xdr:col>8</xdr:col>
      <xdr:colOff>190500</xdr:colOff>
      <xdr:row>13</xdr:row>
      <xdr:rowOff>238125</xdr:rowOff>
    </xdr:to>
    <xdr:sp macro="" textlink="">
      <xdr:nvSpPr>
        <xdr:cNvPr id="322" name="AutoShape 84" descr="https://1portodos.com.br/ResidencialVillage/images/proibido-preto.svg">
          <a:extLst>
            <a:ext uri="{FF2B5EF4-FFF2-40B4-BE49-F238E27FC236}">
              <a16:creationId xmlns:a16="http://schemas.microsoft.com/office/drawing/2014/main" id="{53655001-F55D-4CC4-AE5B-B5713E3064D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8284725"/>
          <a:ext cx="190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388</xdr:row>
      <xdr:rowOff>247650</xdr:rowOff>
    </xdr:from>
    <xdr:to>
      <xdr:col>8</xdr:col>
      <xdr:colOff>190500</xdr:colOff>
      <xdr:row>391</xdr:row>
      <xdr:rowOff>38100</xdr:rowOff>
    </xdr:to>
    <xdr:sp macro="" textlink="">
      <xdr:nvSpPr>
        <xdr:cNvPr id="323" name="AutoShape 85" descr="https://1portodos.com.br/ResidencialVillage/images/proibido-preto.svg">
          <a:extLst>
            <a:ext uri="{FF2B5EF4-FFF2-40B4-BE49-F238E27FC236}">
              <a16:creationId xmlns:a16="http://schemas.microsoft.com/office/drawing/2014/main" id="{41B3BB5D-76C1-42F1-ABDB-3DE8C2036FA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2551925"/>
          <a:ext cx="190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360</xdr:row>
      <xdr:rowOff>257175</xdr:rowOff>
    </xdr:from>
    <xdr:to>
      <xdr:col>8</xdr:col>
      <xdr:colOff>190500</xdr:colOff>
      <xdr:row>363</xdr:row>
      <xdr:rowOff>28575</xdr:rowOff>
    </xdr:to>
    <xdr:sp macro="" textlink="">
      <xdr:nvSpPr>
        <xdr:cNvPr id="324" name="AutoShape 86" descr="https://1portodos.com.br/ResidencialVillage/images/proibido-preto.svg">
          <a:extLst>
            <a:ext uri="{FF2B5EF4-FFF2-40B4-BE49-F238E27FC236}">
              <a16:creationId xmlns:a16="http://schemas.microsoft.com/office/drawing/2014/main" id="{9D7786A6-94D0-4E84-BEF8-DD8781CA1B2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5484375"/>
          <a:ext cx="1905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</xdr:row>
      <xdr:rowOff>266700</xdr:rowOff>
    </xdr:from>
    <xdr:to>
      <xdr:col>8</xdr:col>
      <xdr:colOff>190500</xdr:colOff>
      <xdr:row>54</xdr:row>
      <xdr:rowOff>19050</xdr:rowOff>
    </xdr:to>
    <xdr:sp macro="" textlink="">
      <xdr:nvSpPr>
        <xdr:cNvPr id="325" name="AutoShape 87" descr="https://1portodos.com.br/ResidencialVillage/images/proibido-preto.svg">
          <a:extLst>
            <a:ext uri="{FF2B5EF4-FFF2-40B4-BE49-F238E27FC236}">
              <a16:creationId xmlns:a16="http://schemas.microsoft.com/office/drawing/2014/main" id="{6D49123F-E01E-4E95-9AE6-9D7203C81F1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7713225"/>
          <a:ext cx="1905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352</xdr:row>
      <xdr:rowOff>276225</xdr:rowOff>
    </xdr:from>
    <xdr:to>
      <xdr:col>8</xdr:col>
      <xdr:colOff>190500</xdr:colOff>
      <xdr:row>355</xdr:row>
      <xdr:rowOff>9525</xdr:rowOff>
    </xdr:to>
    <xdr:sp macro="" textlink="">
      <xdr:nvSpPr>
        <xdr:cNvPr id="326" name="AutoShape 88" descr="https://1portodos.com.br/ResidencialVillage/images/proibido-preto.svg">
          <a:extLst>
            <a:ext uri="{FF2B5EF4-FFF2-40B4-BE49-F238E27FC236}">
              <a16:creationId xmlns:a16="http://schemas.microsoft.com/office/drawing/2014/main" id="{87E1EB16-E245-4BCC-AD42-8C6066DCF41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3579375"/>
          <a:ext cx="1905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391</xdr:row>
      <xdr:rowOff>285750</xdr:rowOff>
    </xdr:from>
    <xdr:to>
      <xdr:col>8</xdr:col>
      <xdr:colOff>190500</xdr:colOff>
      <xdr:row>394</xdr:row>
      <xdr:rowOff>9525</xdr:rowOff>
    </xdr:to>
    <xdr:sp macro="" textlink="">
      <xdr:nvSpPr>
        <xdr:cNvPr id="327" name="AutoShape 89" descr="https://1portodos.com.br/ResidencialVillage/images/proibido-preto.svg">
          <a:extLst>
            <a:ext uri="{FF2B5EF4-FFF2-40B4-BE49-F238E27FC236}">
              <a16:creationId xmlns:a16="http://schemas.microsoft.com/office/drawing/2014/main" id="{503D2862-B929-4386-B212-7021DB4EAD3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3218675"/>
          <a:ext cx="190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378</xdr:row>
      <xdr:rowOff>304800</xdr:rowOff>
    </xdr:from>
    <xdr:to>
      <xdr:col>8</xdr:col>
      <xdr:colOff>190500</xdr:colOff>
      <xdr:row>380</xdr:row>
      <xdr:rowOff>171450</xdr:rowOff>
    </xdr:to>
    <xdr:sp macro="" textlink="">
      <xdr:nvSpPr>
        <xdr:cNvPr id="328" name="AutoShape 91" descr="https://1portodos.com.br/ResidencialVillage/images/proibido-preto.svg">
          <a:extLst>
            <a:ext uri="{FF2B5EF4-FFF2-40B4-BE49-F238E27FC236}">
              <a16:creationId xmlns:a16="http://schemas.microsoft.com/office/drawing/2014/main" id="{D8A4FC40-1D5C-4065-AE9B-BBAC007A861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9942075"/>
          <a:ext cx="1905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357</xdr:row>
      <xdr:rowOff>314325</xdr:rowOff>
    </xdr:from>
    <xdr:to>
      <xdr:col>8</xdr:col>
      <xdr:colOff>190500</xdr:colOff>
      <xdr:row>359</xdr:row>
      <xdr:rowOff>161925</xdr:rowOff>
    </xdr:to>
    <xdr:sp macro="" textlink="">
      <xdr:nvSpPr>
        <xdr:cNvPr id="329" name="AutoShape 92" descr="https://1portodos.com.br/ResidencialVillage/images/proibido-preto.svg">
          <a:extLst>
            <a:ext uri="{FF2B5EF4-FFF2-40B4-BE49-F238E27FC236}">
              <a16:creationId xmlns:a16="http://schemas.microsoft.com/office/drawing/2014/main" id="{A1DEE29E-39AB-478A-BDDA-3476EC64B52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4722375"/>
          <a:ext cx="1905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372</xdr:row>
      <xdr:rowOff>323850</xdr:rowOff>
    </xdr:from>
    <xdr:to>
      <xdr:col>8</xdr:col>
      <xdr:colOff>190500</xdr:colOff>
      <xdr:row>374</xdr:row>
      <xdr:rowOff>19050</xdr:rowOff>
    </xdr:to>
    <xdr:sp macro="" textlink="">
      <xdr:nvSpPr>
        <xdr:cNvPr id="330" name="AutoShape 93" descr="https://1portodos.com.br/ResidencialVillage/images/proibido-preto.svg">
          <a:extLst>
            <a:ext uri="{FF2B5EF4-FFF2-40B4-BE49-F238E27FC236}">
              <a16:creationId xmlns:a16="http://schemas.microsoft.com/office/drawing/2014/main" id="{C69DE755-F546-4ED3-B281-FEFD32D7014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8665725"/>
          <a:ext cx="190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387</xdr:row>
      <xdr:rowOff>333375</xdr:rowOff>
    </xdr:from>
    <xdr:to>
      <xdr:col>8</xdr:col>
      <xdr:colOff>190500</xdr:colOff>
      <xdr:row>389</xdr:row>
      <xdr:rowOff>142875</xdr:rowOff>
    </xdr:to>
    <xdr:sp macro="" textlink="">
      <xdr:nvSpPr>
        <xdr:cNvPr id="331" name="AutoShape 94" descr="https://1portodos.com.br/ResidencialVillage/images/proibido-preto.svg">
          <a:extLst>
            <a:ext uri="{FF2B5EF4-FFF2-40B4-BE49-F238E27FC236}">
              <a16:creationId xmlns:a16="http://schemas.microsoft.com/office/drawing/2014/main" id="{720B657E-FD2E-4A2C-8597-7530B20662E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19804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373</xdr:row>
      <xdr:rowOff>342900</xdr:rowOff>
    </xdr:from>
    <xdr:to>
      <xdr:col>8</xdr:col>
      <xdr:colOff>190500</xdr:colOff>
      <xdr:row>375</xdr:row>
      <xdr:rowOff>142875</xdr:rowOff>
    </xdr:to>
    <xdr:sp macro="" textlink="">
      <xdr:nvSpPr>
        <xdr:cNvPr id="332" name="AutoShape 95" descr="https://1portodos.com.br/ResidencialVillage/images/proibido-preto.svg">
          <a:extLst>
            <a:ext uri="{FF2B5EF4-FFF2-40B4-BE49-F238E27FC236}">
              <a16:creationId xmlns:a16="http://schemas.microsoft.com/office/drawing/2014/main" id="{5B97FF44-4027-499C-876E-FF1292144E2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89895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367</xdr:row>
      <xdr:rowOff>352425</xdr:rowOff>
    </xdr:from>
    <xdr:to>
      <xdr:col>8</xdr:col>
      <xdr:colOff>190500</xdr:colOff>
      <xdr:row>369</xdr:row>
      <xdr:rowOff>142875</xdr:rowOff>
    </xdr:to>
    <xdr:sp macro="" textlink="">
      <xdr:nvSpPr>
        <xdr:cNvPr id="333" name="AutoShape 96" descr="https://1portodos.com.br/ResidencialVillage/images/proibido-preto.svg">
          <a:extLst>
            <a:ext uri="{FF2B5EF4-FFF2-40B4-BE49-F238E27FC236}">
              <a16:creationId xmlns:a16="http://schemas.microsoft.com/office/drawing/2014/main" id="{C4BA9A95-64F9-4D30-BC14-467B566E282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71417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366</xdr:row>
      <xdr:rowOff>361950</xdr:rowOff>
    </xdr:from>
    <xdr:to>
      <xdr:col>8</xdr:col>
      <xdr:colOff>190500</xdr:colOff>
      <xdr:row>368</xdr:row>
      <xdr:rowOff>142875</xdr:rowOff>
    </xdr:to>
    <xdr:sp macro="" textlink="">
      <xdr:nvSpPr>
        <xdr:cNvPr id="334" name="AutoShape 97" descr="https://1portodos.com.br/ResidencialVillage/images/proibido-preto.svg">
          <a:extLst>
            <a:ext uri="{FF2B5EF4-FFF2-40B4-BE49-F238E27FC236}">
              <a16:creationId xmlns:a16="http://schemas.microsoft.com/office/drawing/2014/main" id="{2C7645E8-7F15-44D6-AA1A-8A543829FEF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6951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</xdr:row>
      <xdr:rowOff>371475</xdr:rowOff>
    </xdr:from>
    <xdr:to>
      <xdr:col>8</xdr:col>
      <xdr:colOff>190500</xdr:colOff>
      <xdr:row>57</xdr:row>
      <xdr:rowOff>142875</xdr:rowOff>
    </xdr:to>
    <xdr:sp macro="" textlink="">
      <xdr:nvSpPr>
        <xdr:cNvPr id="335" name="AutoShape 98" descr="https://1portodos.com.br/ResidencialVillage/images/proibido-preto.svg">
          <a:extLst>
            <a:ext uri="{FF2B5EF4-FFF2-40B4-BE49-F238E27FC236}">
              <a16:creationId xmlns:a16="http://schemas.microsoft.com/office/drawing/2014/main" id="{32DB3D60-07AA-4A77-AD35-ABEDB8EA323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23614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350</xdr:row>
      <xdr:rowOff>381000</xdr:rowOff>
    </xdr:from>
    <xdr:to>
      <xdr:col>8</xdr:col>
      <xdr:colOff>190500</xdr:colOff>
      <xdr:row>352</xdr:row>
      <xdr:rowOff>142875</xdr:rowOff>
    </xdr:to>
    <xdr:sp macro="" textlink="">
      <xdr:nvSpPr>
        <xdr:cNvPr id="336" name="AutoShape 99" descr="https://1portodos.com.br/ResidencialVillage/images/proibido-preto.svg">
          <a:extLst>
            <a:ext uri="{FF2B5EF4-FFF2-40B4-BE49-F238E27FC236}">
              <a16:creationId xmlns:a16="http://schemas.microsoft.com/office/drawing/2014/main" id="{55C40BEA-0A29-4AD0-86EC-7F417F7DF2C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3198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369</xdr:row>
      <xdr:rowOff>390525</xdr:rowOff>
    </xdr:from>
    <xdr:to>
      <xdr:col>8</xdr:col>
      <xdr:colOff>190500</xdr:colOff>
      <xdr:row>371</xdr:row>
      <xdr:rowOff>142875</xdr:rowOff>
    </xdr:to>
    <xdr:sp macro="" textlink="">
      <xdr:nvSpPr>
        <xdr:cNvPr id="337" name="AutoShape 100" descr="https://1portodos.com.br/ResidencialVillage/images/proibido-preto.svg">
          <a:extLst>
            <a:ext uri="{FF2B5EF4-FFF2-40B4-BE49-F238E27FC236}">
              <a16:creationId xmlns:a16="http://schemas.microsoft.com/office/drawing/2014/main" id="{46E5DA09-A577-4D51-987D-F065E491B96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75227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362</xdr:row>
      <xdr:rowOff>400050</xdr:rowOff>
    </xdr:from>
    <xdr:to>
      <xdr:col>8</xdr:col>
      <xdr:colOff>190500</xdr:colOff>
      <xdr:row>364</xdr:row>
      <xdr:rowOff>142875</xdr:rowOff>
    </xdr:to>
    <xdr:sp macro="" textlink="">
      <xdr:nvSpPr>
        <xdr:cNvPr id="338" name="AutoShape 101" descr="https://1portodos.com.br/ResidencialVillage/images/proibido-preto.svg">
          <a:extLst>
            <a:ext uri="{FF2B5EF4-FFF2-40B4-BE49-F238E27FC236}">
              <a16:creationId xmlns:a16="http://schemas.microsoft.com/office/drawing/2014/main" id="{9E01B1EB-1DA5-4F5B-9E57-66E89531E28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60558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354</xdr:row>
      <xdr:rowOff>409575</xdr:rowOff>
    </xdr:from>
    <xdr:to>
      <xdr:col>8</xdr:col>
      <xdr:colOff>190500</xdr:colOff>
      <xdr:row>356</xdr:row>
      <xdr:rowOff>142875</xdr:rowOff>
    </xdr:to>
    <xdr:sp macro="" textlink="">
      <xdr:nvSpPr>
        <xdr:cNvPr id="339" name="AutoShape 102" descr="https://1portodos.com.br/ResidencialVillage/images/proibido-preto.svg">
          <a:extLst>
            <a:ext uri="{FF2B5EF4-FFF2-40B4-BE49-F238E27FC236}">
              <a16:creationId xmlns:a16="http://schemas.microsoft.com/office/drawing/2014/main" id="{73374B48-98C6-44B4-9CF8-7088FC8091C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3960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349</xdr:row>
      <xdr:rowOff>419100</xdr:rowOff>
    </xdr:from>
    <xdr:to>
      <xdr:col>8</xdr:col>
      <xdr:colOff>190500</xdr:colOff>
      <xdr:row>351</xdr:row>
      <xdr:rowOff>142875</xdr:rowOff>
    </xdr:to>
    <xdr:sp macro="" textlink="">
      <xdr:nvSpPr>
        <xdr:cNvPr id="340" name="AutoShape 103" descr="https://1portodos.com.br/ResidencialVillage/images/proibido-preto.svg">
          <a:extLst>
            <a:ext uri="{FF2B5EF4-FFF2-40B4-BE49-F238E27FC236}">
              <a16:creationId xmlns:a16="http://schemas.microsoft.com/office/drawing/2014/main" id="{0B9D402B-2B05-40D5-B34D-570D30BF80B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30078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375</xdr:row>
      <xdr:rowOff>428625</xdr:rowOff>
    </xdr:from>
    <xdr:to>
      <xdr:col>8</xdr:col>
      <xdr:colOff>190500</xdr:colOff>
      <xdr:row>377</xdr:row>
      <xdr:rowOff>142875</xdr:rowOff>
    </xdr:to>
    <xdr:sp macro="" textlink="">
      <xdr:nvSpPr>
        <xdr:cNvPr id="341" name="AutoShape 104" descr="https://1portodos.com.br/ResidencialVillage/images/proibido-preto.svg">
          <a:extLst>
            <a:ext uri="{FF2B5EF4-FFF2-40B4-BE49-F238E27FC236}">
              <a16:creationId xmlns:a16="http://schemas.microsoft.com/office/drawing/2014/main" id="{0D5604B2-9CBB-4150-908A-DEBE2BF7A7A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93705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382</xdr:row>
      <xdr:rowOff>438150</xdr:rowOff>
    </xdr:from>
    <xdr:to>
      <xdr:col>8</xdr:col>
      <xdr:colOff>190500</xdr:colOff>
      <xdr:row>384</xdr:row>
      <xdr:rowOff>142875</xdr:rowOff>
    </xdr:to>
    <xdr:sp macro="" textlink="">
      <xdr:nvSpPr>
        <xdr:cNvPr id="342" name="AutoShape 105" descr="https://1portodos.com.br/ResidencialVillage/images/proibido-preto.svg">
          <a:extLst>
            <a:ext uri="{FF2B5EF4-FFF2-40B4-BE49-F238E27FC236}">
              <a16:creationId xmlns:a16="http://schemas.microsoft.com/office/drawing/2014/main" id="{9A200C41-EBFE-4012-AFAF-55C656437AB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10279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346</xdr:row>
      <xdr:rowOff>447675</xdr:rowOff>
    </xdr:from>
    <xdr:to>
      <xdr:col>8</xdr:col>
      <xdr:colOff>190500</xdr:colOff>
      <xdr:row>348</xdr:row>
      <xdr:rowOff>142875</xdr:rowOff>
    </xdr:to>
    <xdr:sp macro="" textlink="">
      <xdr:nvSpPr>
        <xdr:cNvPr id="343" name="AutoShape 106" descr="https://1portodos.com.br/ResidencialVillage/images/proibido-preto.svg">
          <a:extLst>
            <a:ext uri="{FF2B5EF4-FFF2-40B4-BE49-F238E27FC236}">
              <a16:creationId xmlns:a16="http://schemas.microsoft.com/office/drawing/2014/main" id="{4771109C-F653-49CF-9481-AF46B48E488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2055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376</xdr:row>
      <xdr:rowOff>457200</xdr:rowOff>
    </xdr:from>
    <xdr:to>
      <xdr:col>8</xdr:col>
      <xdr:colOff>190500</xdr:colOff>
      <xdr:row>378</xdr:row>
      <xdr:rowOff>142875</xdr:rowOff>
    </xdr:to>
    <xdr:sp macro="" textlink="">
      <xdr:nvSpPr>
        <xdr:cNvPr id="344" name="AutoShape 107" descr="https://1portodos.com.br/ResidencialVillage/images/proibido-preto.svg">
          <a:extLst>
            <a:ext uri="{FF2B5EF4-FFF2-40B4-BE49-F238E27FC236}">
              <a16:creationId xmlns:a16="http://schemas.microsoft.com/office/drawing/2014/main" id="{D2A20A24-DE9D-43BA-BE7F-CD620C4C103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95610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62</xdr:row>
      <xdr:rowOff>466725</xdr:rowOff>
    </xdr:from>
    <xdr:to>
      <xdr:col>8</xdr:col>
      <xdr:colOff>190500</xdr:colOff>
      <xdr:row>64</xdr:row>
      <xdr:rowOff>142875</xdr:rowOff>
    </xdr:to>
    <xdr:sp macro="" textlink="">
      <xdr:nvSpPr>
        <xdr:cNvPr id="345" name="AutoShape 108" descr="https://1portodos.com.br/ResidencialVillage/images/proibido-preto.svg">
          <a:extLst>
            <a:ext uri="{FF2B5EF4-FFF2-40B4-BE49-F238E27FC236}">
              <a16:creationId xmlns:a16="http://schemas.microsoft.com/office/drawing/2014/main" id="{A1EF7EA2-C769-4A51-8CF2-4AEF5B2D239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22458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89</xdr:row>
      <xdr:rowOff>476250</xdr:rowOff>
    </xdr:from>
    <xdr:to>
      <xdr:col>8</xdr:col>
      <xdr:colOff>190500</xdr:colOff>
      <xdr:row>91</xdr:row>
      <xdr:rowOff>142875</xdr:rowOff>
    </xdr:to>
    <xdr:sp macro="" textlink="">
      <xdr:nvSpPr>
        <xdr:cNvPr id="346" name="AutoShape 109" descr="https://1portodos.com.br/ResidencialVillage/images/proibido-preto.svg">
          <a:extLst>
            <a:ext uri="{FF2B5EF4-FFF2-40B4-BE49-F238E27FC236}">
              <a16:creationId xmlns:a16="http://schemas.microsoft.com/office/drawing/2014/main" id="{4B6EC327-CC5A-4433-BEE5-A3FDF072095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2436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363</xdr:row>
      <xdr:rowOff>485775</xdr:rowOff>
    </xdr:from>
    <xdr:to>
      <xdr:col>8</xdr:col>
      <xdr:colOff>190500</xdr:colOff>
      <xdr:row>365</xdr:row>
      <xdr:rowOff>9525</xdr:rowOff>
    </xdr:to>
    <xdr:sp macro="" textlink="">
      <xdr:nvSpPr>
        <xdr:cNvPr id="347" name="AutoShape 110" descr="https://1portodos.com.br/ResidencialVillage/images/proibido-preto.svg">
          <a:extLst>
            <a:ext uri="{FF2B5EF4-FFF2-40B4-BE49-F238E27FC236}">
              <a16:creationId xmlns:a16="http://schemas.microsoft.com/office/drawing/2014/main" id="{4AAB1FB2-280D-462B-A728-336DD979AE0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62463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370</xdr:row>
      <xdr:rowOff>495300</xdr:rowOff>
    </xdr:from>
    <xdr:to>
      <xdr:col>8</xdr:col>
      <xdr:colOff>190500</xdr:colOff>
      <xdr:row>372</xdr:row>
      <xdr:rowOff>142875</xdr:rowOff>
    </xdr:to>
    <xdr:sp macro="" textlink="">
      <xdr:nvSpPr>
        <xdr:cNvPr id="348" name="AutoShape 111" descr="https://1portodos.com.br/ResidencialVillage/images/proibido-preto.svg">
          <a:extLst>
            <a:ext uri="{FF2B5EF4-FFF2-40B4-BE49-F238E27FC236}">
              <a16:creationId xmlns:a16="http://schemas.microsoft.com/office/drawing/2014/main" id="{9FC78A76-0691-44A3-89A9-2EB1197550E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8094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386</xdr:row>
      <xdr:rowOff>504825</xdr:rowOff>
    </xdr:from>
    <xdr:to>
      <xdr:col>8</xdr:col>
      <xdr:colOff>190500</xdr:colOff>
      <xdr:row>388</xdr:row>
      <xdr:rowOff>142875</xdr:rowOff>
    </xdr:to>
    <xdr:sp macro="" textlink="">
      <xdr:nvSpPr>
        <xdr:cNvPr id="349" name="AutoShape 112" descr="https://1portodos.com.br/ResidencialVillage/images/proibido-preto.svg">
          <a:extLst>
            <a:ext uri="{FF2B5EF4-FFF2-40B4-BE49-F238E27FC236}">
              <a16:creationId xmlns:a16="http://schemas.microsoft.com/office/drawing/2014/main" id="{4253B42E-311C-4E83-A931-96B80D4EABD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17899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364</xdr:row>
      <xdr:rowOff>514350</xdr:rowOff>
    </xdr:from>
    <xdr:to>
      <xdr:col>8</xdr:col>
      <xdr:colOff>190500</xdr:colOff>
      <xdr:row>366</xdr:row>
      <xdr:rowOff>142875</xdr:rowOff>
    </xdr:to>
    <xdr:sp macro="" textlink="">
      <xdr:nvSpPr>
        <xdr:cNvPr id="350" name="AutoShape 113" descr="https://1portodos.com.br/ResidencialVillage/images/proibido-preto.svg">
          <a:extLst>
            <a:ext uri="{FF2B5EF4-FFF2-40B4-BE49-F238E27FC236}">
              <a16:creationId xmlns:a16="http://schemas.microsoft.com/office/drawing/2014/main" id="{5C2C7504-7A27-4A99-A9F2-C7AFB348BDB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665702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381</xdr:row>
      <xdr:rowOff>523875</xdr:rowOff>
    </xdr:from>
    <xdr:to>
      <xdr:col>8</xdr:col>
      <xdr:colOff>190500</xdr:colOff>
      <xdr:row>383</xdr:row>
      <xdr:rowOff>142875</xdr:rowOff>
    </xdr:to>
    <xdr:sp macro="" textlink="">
      <xdr:nvSpPr>
        <xdr:cNvPr id="351" name="AutoShape 114" descr="https://1portodos.com.br/ResidencialVillage/images/proibido-preto.svg">
          <a:extLst>
            <a:ext uri="{FF2B5EF4-FFF2-40B4-BE49-F238E27FC236}">
              <a16:creationId xmlns:a16="http://schemas.microsoft.com/office/drawing/2014/main" id="{94BF3750-4005-4D7C-85B0-B1ECD13778F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08374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389</xdr:row>
      <xdr:rowOff>533400</xdr:rowOff>
    </xdr:from>
    <xdr:to>
      <xdr:col>8</xdr:col>
      <xdr:colOff>190500</xdr:colOff>
      <xdr:row>391</xdr:row>
      <xdr:rowOff>142875</xdr:rowOff>
    </xdr:to>
    <xdr:sp macro="" textlink="">
      <xdr:nvSpPr>
        <xdr:cNvPr id="352" name="AutoShape 115" descr="https://1portodos.com.br/ResidencialVillage/images/proibido-preto.svg">
          <a:extLst>
            <a:ext uri="{FF2B5EF4-FFF2-40B4-BE49-F238E27FC236}">
              <a16:creationId xmlns:a16="http://schemas.microsoft.com/office/drawing/2014/main" id="{6A01E311-4EA9-4DC2-A24C-948ED0F0FAD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27424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</xdr:row>
      <xdr:rowOff>542925</xdr:rowOff>
    </xdr:from>
    <xdr:to>
      <xdr:col>8</xdr:col>
      <xdr:colOff>190500</xdr:colOff>
      <xdr:row>32</xdr:row>
      <xdr:rowOff>142875</xdr:rowOff>
    </xdr:to>
    <xdr:sp macro="" textlink="">
      <xdr:nvSpPr>
        <xdr:cNvPr id="353" name="AutoShape 116" descr="https://1portodos.com.br/ResidencialVillage/images/proibido-preto.svg">
          <a:extLst>
            <a:ext uri="{FF2B5EF4-FFF2-40B4-BE49-F238E27FC236}">
              <a16:creationId xmlns:a16="http://schemas.microsoft.com/office/drawing/2014/main" id="{17618887-7D6D-45D9-A2D5-672CBB5EEEE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06469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431</xdr:row>
      <xdr:rowOff>0</xdr:rowOff>
    </xdr:from>
    <xdr:to>
      <xdr:col>8</xdr:col>
      <xdr:colOff>190500</xdr:colOff>
      <xdr:row>432</xdr:row>
      <xdr:rowOff>9525</xdr:rowOff>
    </xdr:to>
    <xdr:sp macro="" textlink="">
      <xdr:nvSpPr>
        <xdr:cNvPr id="354" name="AutoShape 99" descr="https://1portodos.com.br/ResidencialVillage/images/proibido-preto.svg">
          <a:extLst>
            <a:ext uri="{FF2B5EF4-FFF2-40B4-BE49-F238E27FC236}">
              <a16:creationId xmlns:a16="http://schemas.microsoft.com/office/drawing/2014/main" id="{A2F28E3D-7875-4AF0-BA47-8505D0C9558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3467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404</xdr:row>
      <xdr:rowOff>9525</xdr:rowOff>
    </xdr:from>
    <xdr:to>
      <xdr:col>8</xdr:col>
      <xdr:colOff>190500</xdr:colOff>
      <xdr:row>405</xdr:row>
      <xdr:rowOff>19050</xdr:rowOff>
    </xdr:to>
    <xdr:sp macro="" textlink="">
      <xdr:nvSpPr>
        <xdr:cNvPr id="355" name="AutoShape 100" descr="https://1portodos.com.br/ResidencialVillage/images/proibido-preto.svg">
          <a:extLst>
            <a:ext uri="{FF2B5EF4-FFF2-40B4-BE49-F238E27FC236}">
              <a16:creationId xmlns:a16="http://schemas.microsoft.com/office/drawing/2014/main" id="{8277A7DB-5768-41BD-98ED-23D71CE13AA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62571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</xdr:row>
      <xdr:rowOff>19050</xdr:rowOff>
    </xdr:from>
    <xdr:to>
      <xdr:col>8</xdr:col>
      <xdr:colOff>190500</xdr:colOff>
      <xdr:row>5</xdr:row>
      <xdr:rowOff>28575</xdr:rowOff>
    </xdr:to>
    <xdr:sp macro="" textlink="">
      <xdr:nvSpPr>
        <xdr:cNvPr id="356" name="AutoShape 101" descr="https://1portodos.com.br/ResidencialVillage/images/proibido-preto.svg">
          <a:extLst>
            <a:ext uri="{FF2B5EF4-FFF2-40B4-BE49-F238E27FC236}">
              <a16:creationId xmlns:a16="http://schemas.microsoft.com/office/drawing/2014/main" id="{73A67D3C-8296-4A41-A516-E37C810CBFE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4418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396</xdr:row>
      <xdr:rowOff>28575</xdr:rowOff>
    </xdr:from>
    <xdr:to>
      <xdr:col>8</xdr:col>
      <xdr:colOff>190500</xdr:colOff>
      <xdr:row>397</xdr:row>
      <xdr:rowOff>38100</xdr:rowOff>
    </xdr:to>
    <xdr:sp macro="" textlink="">
      <xdr:nvSpPr>
        <xdr:cNvPr id="357" name="AutoShape 102" descr="https://1portodos.com.br/ResidencialVillage/images/proibido-preto.svg">
          <a:extLst>
            <a:ext uri="{FF2B5EF4-FFF2-40B4-BE49-F238E27FC236}">
              <a16:creationId xmlns:a16="http://schemas.microsoft.com/office/drawing/2014/main" id="{4D4E11CB-16B3-4184-A03F-108DF0DAB58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40473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99</xdr:row>
      <xdr:rowOff>38100</xdr:rowOff>
    </xdr:from>
    <xdr:to>
      <xdr:col>8</xdr:col>
      <xdr:colOff>190500</xdr:colOff>
      <xdr:row>100</xdr:row>
      <xdr:rowOff>47625</xdr:rowOff>
    </xdr:to>
    <xdr:sp macro="" textlink="">
      <xdr:nvSpPr>
        <xdr:cNvPr id="358" name="AutoShape 103" descr="https://1portodos.com.br/ResidencialVillage/images/proibido-preto.svg">
          <a:extLst>
            <a:ext uri="{FF2B5EF4-FFF2-40B4-BE49-F238E27FC236}">
              <a16:creationId xmlns:a16="http://schemas.microsoft.com/office/drawing/2014/main" id="{2D8C89CC-018F-4350-BA5C-A84C4951CD9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08208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398</xdr:row>
      <xdr:rowOff>47625</xdr:rowOff>
    </xdr:from>
    <xdr:to>
      <xdr:col>8</xdr:col>
      <xdr:colOff>190500</xdr:colOff>
      <xdr:row>399</xdr:row>
      <xdr:rowOff>57150</xdr:rowOff>
    </xdr:to>
    <xdr:sp macro="" textlink="">
      <xdr:nvSpPr>
        <xdr:cNvPr id="359" name="AutoShape 104" descr="https://1portodos.com.br/ResidencialVillage/images/proibido-preto.svg">
          <a:extLst>
            <a:ext uri="{FF2B5EF4-FFF2-40B4-BE49-F238E27FC236}">
              <a16:creationId xmlns:a16="http://schemas.microsoft.com/office/drawing/2014/main" id="{B0D538E9-381D-48E8-A66F-00FF161C994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46379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430</xdr:row>
      <xdr:rowOff>57150</xdr:rowOff>
    </xdr:from>
    <xdr:to>
      <xdr:col>8</xdr:col>
      <xdr:colOff>190500</xdr:colOff>
      <xdr:row>431</xdr:row>
      <xdr:rowOff>66675</xdr:rowOff>
    </xdr:to>
    <xdr:sp macro="" textlink="">
      <xdr:nvSpPr>
        <xdr:cNvPr id="360" name="AutoShape 105" descr="https://1portodos.com.br/ResidencialVillage/images/proibido-preto.svg">
          <a:extLst>
            <a:ext uri="{FF2B5EF4-FFF2-40B4-BE49-F238E27FC236}">
              <a16:creationId xmlns:a16="http://schemas.microsoft.com/office/drawing/2014/main" id="{AC092ED1-8FBF-4469-87D8-8D1F46B7021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31437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449</xdr:row>
      <xdr:rowOff>66675</xdr:rowOff>
    </xdr:from>
    <xdr:to>
      <xdr:col>8</xdr:col>
      <xdr:colOff>190500</xdr:colOff>
      <xdr:row>450</xdr:row>
      <xdr:rowOff>76200</xdr:rowOff>
    </xdr:to>
    <xdr:sp macro="" textlink="">
      <xdr:nvSpPr>
        <xdr:cNvPr id="361" name="AutoShape 106" descr="https://1portodos.com.br/ResidencialVillage/images/proibido-preto.svg">
          <a:extLst>
            <a:ext uri="{FF2B5EF4-FFF2-40B4-BE49-F238E27FC236}">
              <a16:creationId xmlns:a16="http://schemas.microsoft.com/office/drawing/2014/main" id="{32B17E7D-E911-4F3E-A84E-DE9EB71ACD8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79919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448</xdr:row>
      <xdr:rowOff>76200</xdr:rowOff>
    </xdr:from>
    <xdr:to>
      <xdr:col>8</xdr:col>
      <xdr:colOff>190500</xdr:colOff>
      <xdr:row>449</xdr:row>
      <xdr:rowOff>85725</xdr:rowOff>
    </xdr:to>
    <xdr:sp macro="" textlink="">
      <xdr:nvSpPr>
        <xdr:cNvPr id="362" name="AutoShape 107" descr="https://1portodos.com.br/ResidencialVillage/images/proibido-preto.svg">
          <a:extLst>
            <a:ext uri="{FF2B5EF4-FFF2-40B4-BE49-F238E27FC236}">
              <a16:creationId xmlns:a16="http://schemas.microsoft.com/office/drawing/2014/main" id="{7019D685-C000-4680-BA17-0E320AFDE62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78109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423</xdr:row>
      <xdr:rowOff>85725</xdr:rowOff>
    </xdr:from>
    <xdr:to>
      <xdr:col>8</xdr:col>
      <xdr:colOff>190500</xdr:colOff>
      <xdr:row>424</xdr:row>
      <xdr:rowOff>95250</xdr:rowOff>
    </xdr:to>
    <xdr:sp macro="" textlink="">
      <xdr:nvSpPr>
        <xdr:cNvPr id="363" name="AutoShape 108" descr="https://1portodos.com.br/ResidencialVillage/images/proibido-preto.svg">
          <a:extLst>
            <a:ext uri="{FF2B5EF4-FFF2-40B4-BE49-F238E27FC236}">
              <a16:creationId xmlns:a16="http://schemas.microsoft.com/office/drawing/2014/main" id="{67A14C9A-3024-46AA-9A45-F8AB872F383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15721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445</xdr:row>
      <xdr:rowOff>95250</xdr:rowOff>
    </xdr:from>
    <xdr:to>
      <xdr:col>8</xdr:col>
      <xdr:colOff>190500</xdr:colOff>
      <xdr:row>446</xdr:row>
      <xdr:rowOff>104775</xdr:rowOff>
    </xdr:to>
    <xdr:sp macro="" textlink="">
      <xdr:nvSpPr>
        <xdr:cNvPr id="364" name="AutoShape 109" descr="https://1portodos.com.br/ResidencialVillage/images/proibido-preto.svg">
          <a:extLst>
            <a:ext uri="{FF2B5EF4-FFF2-40B4-BE49-F238E27FC236}">
              <a16:creationId xmlns:a16="http://schemas.microsoft.com/office/drawing/2014/main" id="{9EE337EC-E962-4909-82E3-DDB4E2735DC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7125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</xdr:row>
      <xdr:rowOff>104775</xdr:rowOff>
    </xdr:from>
    <xdr:to>
      <xdr:col>8</xdr:col>
      <xdr:colOff>190500</xdr:colOff>
      <xdr:row>47</xdr:row>
      <xdr:rowOff>114300</xdr:rowOff>
    </xdr:to>
    <xdr:sp macro="" textlink="">
      <xdr:nvSpPr>
        <xdr:cNvPr id="365" name="AutoShape 110" descr="https://1portodos.com.br/ResidencialVillage/images/proibido-preto.svg">
          <a:extLst>
            <a:ext uri="{FF2B5EF4-FFF2-40B4-BE49-F238E27FC236}">
              <a16:creationId xmlns:a16="http://schemas.microsoft.com/office/drawing/2014/main" id="{DBEAEBC9-F687-4DAE-ABFC-FA96FC3D4EE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75716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84</xdr:row>
      <xdr:rowOff>114300</xdr:rowOff>
    </xdr:from>
    <xdr:to>
      <xdr:col>8</xdr:col>
      <xdr:colOff>190500</xdr:colOff>
      <xdr:row>85</xdr:row>
      <xdr:rowOff>123825</xdr:rowOff>
    </xdr:to>
    <xdr:sp macro="" textlink="">
      <xdr:nvSpPr>
        <xdr:cNvPr id="366" name="AutoShape 111" descr="https://1portodos.com.br/ResidencialVillage/images/proibido-preto.svg">
          <a:extLst>
            <a:ext uri="{FF2B5EF4-FFF2-40B4-BE49-F238E27FC236}">
              <a16:creationId xmlns:a16="http://schemas.microsoft.com/office/drawing/2014/main" id="{1A4382F9-4837-4E6C-B702-3264B47AA8E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0706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123825</xdr:rowOff>
    </xdr:from>
    <xdr:to>
      <xdr:col>8</xdr:col>
      <xdr:colOff>190500</xdr:colOff>
      <xdr:row>3</xdr:row>
      <xdr:rowOff>133350</xdr:rowOff>
    </xdr:to>
    <xdr:sp macro="" textlink="">
      <xdr:nvSpPr>
        <xdr:cNvPr id="367" name="AutoShape 112" descr="https://1portodos.com.br/ResidencialVillage/images/proibido-preto.svg">
          <a:extLst>
            <a:ext uri="{FF2B5EF4-FFF2-40B4-BE49-F238E27FC236}">
              <a16:creationId xmlns:a16="http://schemas.microsoft.com/office/drawing/2014/main" id="{5E125830-B64D-4307-86F9-D90BA4C2F78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65619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455</xdr:row>
      <xdr:rowOff>133350</xdr:rowOff>
    </xdr:from>
    <xdr:to>
      <xdr:col>8</xdr:col>
      <xdr:colOff>190500</xdr:colOff>
      <xdr:row>456</xdr:row>
      <xdr:rowOff>142875</xdr:rowOff>
    </xdr:to>
    <xdr:sp macro="" textlink="">
      <xdr:nvSpPr>
        <xdr:cNvPr id="368" name="AutoShape 113" descr="https://1portodos.com.br/ResidencialVillage/images/proibido-preto.svg">
          <a:extLst>
            <a:ext uri="{FF2B5EF4-FFF2-40B4-BE49-F238E27FC236}">
              <a16:creationId xmlns:a16="http://schemas.microsoft.com/office/drawing/2014/main" id="{F9C6104C-B208-4BFB-939F-DFC14D75DE1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9392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462</xdr:row>
      <xdr:rowOff>142875</xdr:rowOff>
    </xdr:from>
    <xdr:to>
      <xdr:col>8</xdr:col>
      <xdr:colOff>190500</xdr:colOff>
      <xdr:row>463</xdr:row>
      <xdr:rowOff>152400</xdr:rowOff>
    </xdr:to>
    <xdr:sp macro="" textlink="">
      <xdr:nvSpPr>
        <xdr:cNvPr id="369" name="AutoShape 114" descr="https://1portodos.com.br/ResidencialVillage/images/proibido-preto.svg">
          <a:extLst>
            <a:ext uri="{FF2B5EF4-FFF2-40B4-BE49-F238E27FC236}">
              <a16:creationId xmlns:a16="http://schemas.microsoft.com/office/drawing/2014/main" id="{876CA7E9-42BF-457A-897B-CFE5A9BF552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13066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469</xdr:row>
      <xdr:rowOff>152400</xdr:rowOff>
    </xdr:from>
    <xdr:to>
      <xdr:col>8</xdr:col>
      <xdr:colOff>190500</xdr:colOff>
      <xdr:row>470</xdr:row>
      <xdr:rowOff>161925</xdr:rowOff>
    </xdr:to>
    <xdr:sp macro="" textlink="">
      <xdr:nvSpPr>
        <xdr:cNvPr id="370" name="AutoShape 115" descr="https://1portodos.com.br/ResidencialVillage/images/proibido-preto.svg">
          <a:extLst>
            <a:ext uri="{FF2B5EF4-FFF2-40B4-BE49-F238E27FC236}">
              <a16:creationId xmlns:a16="http://schemas.microsoft.com/office/drawing/2014/main" id="{D34E3F1B-FAA0-4987-9BDF-53323F9A6FF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2649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468</xdr:row>
      <xdr:rowOff>161925</xdr:rowOff>
    </xdr:from>
    <xdr:to>
      <xdr:col>8</xdr:col>
      <xdr:colOff>190500</xdr:colOff>
      <xdr:row>469</xdr:row>
      <xdr:rowOff>171450</xdr:rowOff>
    </xdr:to>
    <xdr:sp macro="" textlink="">
      <xdr:nvSpPr>
        <xdr:cNvPr id="371" name="AutoShape 116" descr="https://1portodos.com.br/ResidencialVillage/images/proibido-preto.svg">
          <a:extLst>
            <a:ext uri="{FF2B5EF4-FFF2-40B4-BE49-F238E27FC236}">
              <a16:creationId xmlns:a16="http://schemas.microsoft.com/office/drawing/2014/main" id="{B73359F8-D51D-4982-B0E8-7972E3A1D92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24687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411</xdr:row>
      <xdr:rowOff>171450</xdr:rowOff>
    </xdr:from>
    <xdr:to>
      <xdr:col>8</xdr:col>
      <xdr:colOff>190500</xdr:colOff>
      <xdr:row>412</xdr:row>
      <xdr:rowOff>180975</xdr:rowOff>
    </xdr:to>
    <xdr:sp macro="" textlink="">
      <xdr:nvSpPr>
        <xdr:cNvPr id="372" name="AutoShape 117" descr="https://1portodos.com.br/ResidencialVillage/images/proibido-preto.svg">
          <a:extLst>
            <a:ext uri="{FF2B5EF4-FFF2-40B4-BE49-F238E27FC236}">
              <a16:creationId xmlns:a16="http://schemas.microsoft.com/office/drawing/2014/main" id="{918B657E-F5E9-4571-BE72-5E90752EC3A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8533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</xdr:row>
      <xdr:rowOff>180975</xdr:rowOff>
    </xdr:from>
    <xdr:to>
      <xdr:col>8</xdr:col>
      <xdr:colOff>190500</xdr:colOff>
      <xdr:row>35</xdr:row>
      <xdr:rowOff>0</xdr:rowOff>
    </xdr:to>
    <xdr:sp macro="" textlink="">
      <xdr:nvSpPr>
        <xdr:cNvPr id="373" name="AutoShape 118" descr="https://1portodos.com.br/ResidencialVillage/images/proibido-preto.svg">
          <a:extLst>
            <a:ext uri="{FF2B5EF4-FFF2-40B4-BE49-F238E27FC236}">
              <a16:creationId xmlns:a16="http://schemas.microsoft.com/office/drawing/2014/main" id="{896CFC32-5885-4F58-96E7-48A1884E456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34580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190500</xdr:rowOff>
    </xdr:from>
    <xdr:to>
      <xdr:col>8</xdr:col>
      <xdr:colOff>190500</xdr:colOff>
      <xdr:row>28</xdr:row>
      <xdr:rowOff>19050</xdr:rowOff>
    </xdr:to>
    <xdr:sp macro="" textlink="">
      <xdr:nvSpPr>
        <xdr:cNvPr id="374" name="AutoShape 119" descr="https://1portodos.com.br/ResidencialVillage/images/proibido-preto.svg">
          <a:extLst>
            <a:ext uri="{FF2B5EF4-FFF2-40B4-BE49-F238E27FC236}">
              <a16:creationId xmlns:a16="http://schemas.microsoft.com/office/drawing/2014/main" id="{394EBA2A-C66C-4B13-A207-030D85E104F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0781525"/>
          <a:ext cx="190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461</xdr:row>
      <xdr:rowOff>200025</xdr:rowOff>
    </xdr:from>
    <xdr:to>
      <xdr:col>8</xdr:col>
      <xdr:colOff>190500</xdr:colOff>
      <xdr:row>463</xdr:row>
      <xdr:rowOff>9525</xdr:rowOff>
    </xdr:to>
    <xdr:sp macro="" textlink="">
      <xdr:nvSpPr>
        <xdr:cNvPr id="375" name="AutoShape 120" descr="https://1portodos.com.br/ResidencialVillage/images/proibido-preto.svg">
          <a:extLst>
            <a:ext uri="{FF2B5EF4-FFF2-40B4-BE49-F238E27FC236}">
              <a16:creationId xmlns:a16="http://schemas.microsoft.com/office/drawing/2014/main" id="{6F82F783-C531-44FA-8CA8-5BF540BC341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0592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437</xdr:row>
      <xdr:rowOff>209550</xdr:rowOff>
    </xdr:from>
    <xdr:to>
      <xdr:col>8</xdr:col>
      <xdr:colOff>190500</xdr:colOff>
      <xdr:row>439</xdr:row>
      <xdr:rowOff>9525</xdr:rowOff>
    </xdr:to>
    <xdr:sp macro="" textlink="">
      <xdr:nvSpPr>
        <xdr:cNvPr id="376" name="AutoShape 121" descr="https://1portodos.com.br/ResidencialVillage/images/proibido-preto.svg">
          <a:extLst>
            <a:ext uri="{FF2B5EF4-FFF2-40B4-BE49-F238E27FC236}">
              <a16:creationId xmlns:a16="http://schemas.microsoft.com/office/drawing/2014/main" id="{51762336-5EB4-413D-8186-F1B1CD4ACFE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51820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472</xdr:row>
      <xdr:rowOff>219075</xdr:rowOff>
    </xdr:from>
    <xdr:to>
      <xdr:col>8</xdr:col>
      <xdr:colOff>190500</xdr:colOff>
      <xdr:row>474</xdr:row>
      <xdr:rowOff>9525</xdr:rowOff>
    </xdr:to>
    <xdr:sp macro="" textlink="">
      <xdr:nvSpPr>
        <xdr:cNvPr id="377" name="AutoShape 122" descr="https://1portodos.com.br/ResidencialVillage/images/proibido-preto.svg">
          <a:extLst>
            <a:ext uri="{FF2B5EF4-FFF2-40B4-BE49-F238E27FC236}">
              <a16:creationId xmlns:a16="http://schemas.microsoft.com/office/drawing/2014/main" id="{71257617-7F20-4473-8636-38767B283DE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3259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459</xdr:row>
      <xdr:rowOff>228600</xdr:rowOff>
    </xdr:from>
    <xdr:to>
      <xdr:col>8</xdr:col>
      <xdr:colOff>190500</xdr:colOff>
      <xdr:row>461</xdr:row>
      <xdr:rowOff>9525</xdr:rowOff>
    </xdr:to>
    <xdr:sp macro="" textlink="">
      <xdr:nvSpPr>
        <xdr:cNvPr id="378" name="AutoShape 123" descr="https://1portodos.com.br/ResidencialVillage/images/proibido-preto.svg">
          <a:extLst>
            <a:ext uri="{FF2B5EF4-FFF2-40B4-BE49-F238E27FC236}">
              <a16:creationId xmlns:a16="http://schemas.microsoft.com/office/drawing/2014/main" id="{8B9E6CE9-0185-4280-96AF-ED33B3015F4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0211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401</xdr:row>
      <xdr:rowOff>238125</xdr:rowOff>
    </xdr:from>
    <xdr:to>
      <xdr:col>8</xdr:col>
      <xdr:colOff>190500</xdr:colOff>
      <xdr:row>403</xdr:row>
      <xdr:rowOff>9525</xdr:rowOff>
    </xdr:to>
    <xdr:sp macro="" textlink="">
      <xdr:nvSpPr>
        <xdr:cNvPr id="379" name="AutoShape 124" descr="https://1portodos.com.br/ResidencialVillage/images/proibido-preto.svg">
          <a:extLst>
            <a:ext uri="{FF2B5EF4-FFF2-40B4-BE49-F238E27FC236}">
              <a16:creationId xmlns:a16="http://schemas.microsoft.com/office/drawing/2014/main" id="{1CF037B1-F3E2-45BB-BEEF-365C38F12A6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5352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428</xdr:row>
      <xdr:rowOff>247650</xdr:rowOff>
    </xdr:from>
    <xdr:to>
      <xdr:col>8</xdr:col>
      <xdr:colOff>190500</xdr:colOff>
      <xdr:row>429</xdr:row>
      <xdr:rowOff>123825</xdr:rowOff>
    </xdr:to>
    <xdr:sp macro="" textlink="">
      <xdr:nvSpPr>
        <xdr:cNvPr id="380" name="AutoShape 125" descr="https://1portodos.com.br/ResidencialVillage/images/proibido-preto.svg">
          <a:extLst>
            <a:ext uri="{FF2B5EF4-FFF2-40B4-BE49-F238E27FC236}">
              <a16:creationId xmlns:a16="http://schemas.microsoft.com/office/drawing/2014/main" id="{04C42671-9964-4C74-8184-3079654AAD2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28198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446</xdr:row>
      <xdr:rowOff>257175</xdr:rowOff>
    </xdr:from>
    <xdr:to>
      <xdr:col>8</xdr:col>
      <xdr:colOff>190500</xdr:colOff>
      <xdr:row>447</xdr:row>
      <xdr:rowOff>200025</xdr:rowOff>
    </xdr:to>
    <xdr:sp macro="" textlink="">
      <xdr:nvSpPr>
        <xdr:cNvPr id="381" name="AutoShape 126" descr="https://1portodos.com.br/ResidencialVillage/images/proibido-preto.svg">
          <a:extLst>
            <a:ext uri="{FF2B5EF4-FFF2-40B4-BE49-F238E27FC236}">
              <a16:creationId xmlns:a16="http://schemas.microsoft.com/office/drawing/2014/main" id="{0B3B1862-42D7-43F7-B088-CE251464ED3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74109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467</xdr:row>
      <xdr:rowOff>266700</xdr:rowOff>
    </xdr:from>
    <xdr:to>
      <xdr:col>8</xdr:col>
      <xdr:colOff>190500</xdr:colOff>
      <xdr:row>469</xdr:row>
      <xdr:rowOff>9525</xdr:rowOff>
    </xdr:to>
    <xdr:sp macro="" textlink="">
      <xdr:nvSpPr>
        <xdr:cNvPr id="382" name="AutoShape 127" descr="https://1portodos.com.br/ResidencialVillage/images/proibido-preto.svg">
          <a:extLst>
            <a:ext uri="{FF2B5EF4-FFF2-40B4-BE49-F238E27FC236}">
              <a16:creationId xmlns:a16="http://schemas.microsoft.com/office/drawing/2014/main" id="{2D689FDE-A6B6-4821-B2A1-3E2DE34326B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2306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447</xdr:row>
      <xdr:rowOff>276225</xdr:rowOff>
    </xdr:from>
    <xdr:to>
      <xdr:col>8</xdr:col>
      <xdr:colOff>190500</xdr:colOff>
      <xdr:row>448</xdr:row>
      <xdr:rowOff>152400</xdr:rowOff>
    </xdr:to>
    <xdr:sp macro="" textlink="">
      <xdr:nvSpPr>
        <xdr:cNvPr id="383" name="AutoShape 128" descr="https://1portodos.com.br/ResidencialVillage/images/proibido-preto.svg">
          <a:extLst>
            <a:ext uri="{FF2B5EF4-FFF2-40B4-BE49-F238E27FC236}">
              <a16:creationId xmlns:a16="http://schemas.microsoft.com/office/drawing/2014/main" id="{E75D259F-96A6-47BB-8BD8-4EA5C1A2436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76871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406</xdr:row>
      <xdr:rowOff>285750</xdr:rowOff>
    </xdr:from>
    <xdr:to>
      <xdr:col>8</xdr:col>
      <xdr:colOff>190500</xdr:colOff>
      <xdr:row>407</xdr:row>
      <xdr:rowOff>161925</xdr:rowOff>
    </xdr:to>
    <xdr:sp macro="" textlink="">
      <xdr:nvSpPr>
        <xdr:cNvPr id="384" name="AutoShape 129" descr="https://1portodos.com.br/ResidencialVillage/images/proibido-preto.svg">
          <a:extLst>
            <a:ext uri="{FF2B5EF4-FFF2-40B4-BE49-F238E27FC236}">
              <a16:creationId xmlns:a16="http://schemas.microsoft.com/office/drawing/2014/main" id="{3E0859DD-71F4-44B8-8891-339BCF48E4E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72382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409</xdr:row>
      <xdr:rowOff>295275</xdr:rowOff>
    </xdr:from>
    <xdr:to>
      <xdr:col>8</xdr:col>
      <xdr:colOff>190500</xdr:colOff>
      <xdr:row>410</xdr:row>
      <xdr:rowOff>171450</xdr:rowOff>
    </xdr:to>
    <xdr:sp macro="" textlink="">
      <xdr:nvSpPr>
        <xdr:cNvPr id="385" name="AutoShape 130" descr="https://1portodos.com.br/ResidencialVillage/images/proibido-preto.svg">
          <a:extLst>
            <a:ext uri="{FF2B5EF4-FFF2-40B4-BE49-F238E27FC236}">
              <a16:creationId xmlns:a16="http://schemas.microsoft.com/office/drawing/2014/main" id="{A90F893B-3B01-4DC1-AA2E-57E8ADBA1EF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81431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424</xdr:row>
      <xdr:rowOff>304800</xdr:rowOff>
    </xdr:from>
    <xdr:to>
      <xdr:col>8</xdr:col>
      <xdr:colOff>190500</xdr:colOff>
      <xdr:row>425</xdr:row>
      <xdr:rowOff>180975</xdr:rowOff>
    </xdr:to>
    <xdr:sp macro="" textlink="">
      <xdr:nvSpPr>
        <xdr:cNvPr id="386" name="AutoShape 131" descr="https://1portodos.com.br/ResidencialVillage/images/proibido-preto.svg">
          <a:extLst>
            <a:ext uri="{FF2B5EF4-FFF2-40B4-BE49-F238E27FC236}">
              <a16:creationId xmlns:a16="http://schemas.microsoft.com/office/drawing/2014/main" id="{D6BCAD4C-AC95-423B-9687-73980B8D6D0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19816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436</xdr:row>
      <xdr:rowOff>314325</xdr:rowOff>
    </xdr:from>
    <xdr:to>
      <xdr:col>8</xdr:col>
      <xdr:colOff>190500</xdr:colOff>
      <xdr:row>438</xdr:row>
      <xdr:rowOff>9525</xdr:rowOff>
    </xdr:to>
    <xdr:sp macro="" textlink="">
      <xdr:nvSpPr>
        <xdr:cNvPr id="387" name="AutoShape 132" descr="https://1portodos.com.br/ResidencialVillage/images/proibido-preto.svg">
          <a:extLst>
            <a:ext uri="{FF2B5EF4-FFF2-40B4-BE49-F238E27FC236}">
              <a16:creationId xmlns:a16="http://schemas.microsoft.com/office/drawing/2014/main" id="{44048510-916D-48CD-AF30-6032C8FEB55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4991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454</xdr:row>
      <xdr:rowOff>323850</xdr:rowOff>
    </xdr:from>
    <xdr:to>
      <xdr:col>8</xdr:col>
      <xdr:colOff>190500</xdr:colOff>
      <xdr:row>456</xdr:row>
      <xdr:rowOff>9525</xdr:rowOff>
    </xdr:to>
    <xdr:sp macro="" textlink="">
      <xdr:nvSpPr>
        <xdr:cNvPr id="388" name="AutoShape 133" descr="https://1portodos.com.br/ResidencialVillage/images/proibido-preto.svg">
          <a:extLst>
            <a:ext uri="{FF2B5EF4-FFF2-40B4-BE49-F238E27FC236}">
              <a16:creationId xmlns:a16="http://schemas.microsoft.com/office/drawing/2014/main" id="{EE71A7E3-F605-410F-8EA5-0088A080798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9258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416</xdr:row>
      <xdr:rowOff>333375</xdr:rowOff>
    </xdr:from>
    <xdr:to>
      <xdr:col>8</xdr:col>
      <xdr:colOff>190500</xdr:colOff>
      <xdr:row>418</xdr:row>
      <xdr:rowOff>9525</xdr:rowOff>
    </xdr:to>
    <xdr:sp macro="" textlink="">
      <xdr:nvSpPr>
        <xdr:cNvPr id="389" name="AutoShape 134" descr="https://1portodos.com.br/ResidencialVillage/images/proibido-preto.svg">
          <a:extLst>
            <a:ext uri="{FF2B5EF4-FFF2-40B4-BE49-F238E27FC236}">
              <a16:creationId xmlns:a16="http://schemas.microsoft.com/office/drawing/2014/main" id="{D04299F0-9823-4EC0-9D79-E2EED337DBF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98290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444</xdr:row>
      <xdr:rowOff>342900</xdr:rowOff>
    </xdr:from>
    <xdr:to>
      <xdr:col>8</xdr:col>
      <xdr:colOff>190500</xdr:colOff>
      <xdr:row>446</xdr:row>
      <xdr:rowOff>9525</xdr:rowOff>
    </xdr:to>
    <xdr:sp macro="" textlink="">
      <xdr:nvSpPr>
        <xdr:cNvPr id="390" name="AutoShape 135" descr="https://1portodos.com.br/ResidencialVillage/images/proibido-preto.svg">
          <a:extLst>
            <a:ext uri="{FF2B5EF4-FFF2-40B4-BE49-F238E27FC236}">
              <a16:creationId xmlns:a16="http://schemas.microsoft.com/office/drawing/2014/main" id="{A6FCE3EA-EC46-420E-8DC0-A6C4830D272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70299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</xdr:row>
      <xdr:rowOff>352425</xdr:rowOff>
    </xdr:from>
    <xdr:to>
      <xdr:col>8</xdr:col>
      <xdr:colOff>190500</xdr:colOff>
      <xdr:row>40</xdr:row>
      <xdr:rowOff>9525</xdr:rowOff>
    </xdr:to>
    <xdr:sp macro="" textlink="">
      <xdr:nvSpPr>
        <xdr:cNvPr id="391" name="AutoShape 136" descr="https://1portodos.com.br/ResidencialVillage/images/proibido-preto.svg">
          <a:extLst>
            <a:ext uri="{FF2B5EF4-FFF2-40B4-BE49-F238E27FC236}">
              <a16:creationId xmlns:a16="http://schemas.microsoft.com/office/drawing/2014/main" id="{475C8083-E1EB-4A78-8390-9FDFDEDFE2E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60571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441</xdr:row>
      <xdr:rowOff>361950</xdr:rowOff>
    </xdr:from>
    <xdr:to>
      <xdr:col>8</xdr:col>
      <xdr:colOff>190500</xdr:colOff>
      <xdr:row>443</xdr:row>
      <xdr:rowOff>9525</xdr:rowOff>
    </xdr:to>
    <xdr:sp macro="" textlink="">
      <xdr:nvSpPr>
        <xdr:cNvPr id="392" name="AutoShape 137" descr="https://1portodos.com.br/ResidencialVillage/images/proibido-preto.svg">
          <a:extLst>
            <a:ext uri="{FF2B5EF4-FFF2-40B4-BE49-F238E27FC236}">
              <a16:creationId xmlns:a16="http://schemas.microsoft.com/office/drawing/2014/main" id="{25A6FC7E-DE0C-4205-B492-42FDBB33DC3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64584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397</xdr:row>
      <xdr:rowOff>371475</xdr:rowOff>
    </xdr:from>
    <xdr:to>
      <xdr:col>8</xdr:col>
      <xdr:colOff>190500</xdr:colOff>
      <xdr:row>399</xdr:row>
      <xdr:rowOff>9525</xdr:rowOff>
    </xdr:to>
    <xdr:sp macro="" textlink="">
      <xdr:nvSpPr>
        <xdr:cNvPr id="393" name="AutoShape 138" descr="https://1portodos.com.br/ResidencialVillage/images/proibido-preto.svg">
          <a:extLst>
            <a:ext uri="{FF2B5EF4-FFF2-40B4-BE49-F238E27FC236}">
              <a16:creationId xmlns:a16="http://schemas.microsoft.com/office/drawing/2014/main" id="{1BE48D7B-7A02-4820-BC60-AB38B8529F8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4399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458</xdr:row>
      <xdr:rowOff>381000</xdr:rowOff>
    </xdr:from>
    <xdr:to>
      <xdr:col>8</xdr:col>
      <xdr:colOff>190500</xdr:colOff>
      <xdr:row>460</xdr:row>
      <xdr:rowOff>9525</xdr:rowOff>
    </xdr:to>
    <xdr:sp macro="" textlink="">
      <xdr:nvSpPr>
        <xdr:cNvPr id="394" name="AutoShape 139" descr="https://1portodos.com.br/ResidencialVillage/images/proibido-preto.svg">
          <a:extLst>
            <a:ext uri="{FF2B5EF4-FFF2-40B4-BE49-F238E27FC236}">
              <a16:creationId xmlns:a16="http://schemas.microsoft.com/office/drawing/2014/main" id="{866349C5-83B3-4BC3-A617-985A0354003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0020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463</xdr:row>
      <xdr:rowOff>390525</xdr:rowOff>
    </xdr:from>
    <xdr:to>
      <xdr:col>8</xdr:col>
      <xdr:colOff>190500</xdr:colOff>
      <xdr:row>465</xdr:row>
      <xdr:rowOff>9525</xdr:rowOff>
    </xdr:to>
    <xdr:sp macro="" textlink="">
      <xdr:nvSpPr>
        <xdr:cNvPr id="395" name="AutoShape 140" descr="https://1portodos.com.br/ResidencialVillage/images/proibido-preto.svg">
          <a:extLst>
            <a:ext uri="{FF2B5EF4-FFF2-40B4-BE49-F238E27FC236}">
              <a16:creationId xmlns:a16="http://schemas.microsoft.com/office/drawing/2014/main" id="{816BAA5B-594D-40BC-996C-67ACBBD39CE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1544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465</xdr:row>
      <xdr:rowOff>400050</xdr:rowOff>
    </xdr:from>
    <xdr:to>
      <xdr:col>8</xdr:col>
      <xdr:colOff>190500</xdr:colOff>
      <xdr:row>467</xdr:row>
      <xdr:rowOff>9525</xdr:rowOff>
    </xdr:to>
    <xdr:sp macro="" textlink="">
      <xdr:nvSpPr>
        <xdr:cNvPr id="396" name="AutoShape 141" descr="https://1portodos.com.br/ResidencialVillage/images/proibido-preto.svg">
          <a:extLst>
            <a:ext uri="{FF2B5EF4-FFF2-40B4-BE49-F238E27FC236}">
              <a16:creationId xmlns:a16="http://schemas.microsoft.com/office/drawing/2014/main" id="{B96CB852-8B26-433A-AE48-6665E2BC39F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1925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394</xdr:row>
      <xdr:rowOff>409575</xdr:rowOff>
    </xdr:from>
    <xdr:to>
      <xdr:col>8</xdr:col>
      <xdr:colOff>190500</xdr:colOff>
      <xdr:row>396</xdr:row>
      <xdr:rowOff>9525</xdr:rowOff>
    </xdr:to>
    <xdr:sp macro="" textlink="">
      <xdr:nvSpPr>
        <xdr:cNvPr id="397" name="AutoShape 142" descr="https://1portodos.com.br/ResidencialVillage/images/proibido-preto.svg">
          <a:extLst>
            <a:ext uri="{FF2B5EF4-FFF2-40B4-BE49-F238E27FC236}">
              <a16:creationId xmlns:a16="http://schemas.microsoft.com/office/drawing/2014/main" id="{FFD470E9-3139-40A0-BA88-B6C7E4EFB73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3828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471</xdr:row>
      <xdr:rowOff>419100</xdr:rowOff>
    </xdr:from>
    <xdr:to>
      <xdr:col>8</xdr:col>
      <xdr:colOff>190500</xdr:colOff>
      <xdr:row>473</xdr:row>
      <xdr:rowOff>9525</xdr:rowOff>
    </xdr:to>
    <xdr:sp macro="" textlink="">
      <xdr:nvSpPr>
        <xdr:cNvPr id="398" name="AutoShape 143" descr="https://1portodos.com.br/ResidencialVillage/images/proibido-preto.svg">
          <a:extLst>
            <a:ext uri="{FF2B5EF4-FFF2-40B4-BE49-F238E27FC236}">
              <a16:creationId xmlns:a16="http://schemas.microsoft.com/office/drawing/2014/main" id="{24E8494D-658B-4D1D-B990-22335709214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3068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473</xdr:row>
      <xdr:rowOff>428625</xdr:rowOff>
    </xdr:from>
    <xdr:to>
      <xdr:col>8</xdr:col>
      <xdr:colOff>190500</xdr:colOff>
      <xdr:row>475</xdr:row>
      <xdr:rowOff>9525</xdr:rowOff>
    </xdr:to>
    <xdr:sp macro="" textlink="">
      <xdr:nvSpPr>
        <xdr:cNvPr id="399" name="AutoShape 144" descr="https://1portodos.com.br/ResidencialVillage/images/proibido-preto.svg">
          <a:extLst>
            <a:ext uri="{FF2B5EF4-FFF2-40B4-BE49-F238E27FC236}">
              <a16:creationId xmlns:a16="http://schemas.microsoft.com/office/drawing/2014/main" id="{2EE37B2A-1AD9-4379-B426-A15B83D1079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3449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</xdr:row>
      <xdr:rowOff>438150</xdr:rowOff>
    </xdr:from>
    <xdr:to>
      <xdr:col>8</xdr:col>
      <xdr:colOff>190500</xdr:colOff>
      <xdr:row>37</xdr:row>
      <xdr:rowOff>9525</xdr:rowOff>
    </xdr:to>
    <xdr:sp macro="" textlink="">
      <xdr:nvSpPr>
        <xdr:cNvPr id="400" name="AutoShape 145" descr="https://1portodos.com.br/ResidencialVillage/images/proibido-preto.svg">
          <a:extLst>
            <a:ext uri="{FF2B5EF4-FFF2-40B4-BE49-F238E27FC236}">
              <a16:creationId xmlns:a16="http://schemas.microsoft.com/office/drawing/2014/main" id="{094552B9-3486-4A1F-AE76-55E9CB42D7F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3848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456</xdr:row>
      <xdr:rowOff>447675</xdr:rowOff>
    </xdr:from>
    <xdr:to>
      <xdr:col>8</xdr:col>
      <xdr:colOff>190500</xdr:colOff>
      <xdr:row>458</xdr:row>
      <xdr:rowOff>9525</xdr:rowOff>
    </xdr:to>
    <xdr:sp macro="" textlink="">
      <xdr:nvSpPr>
        <xdr:cNvPr id="401" name="AutoShape 146" descr="https://1portodos.com.br/ResidencialVillage/images/proibido-preto.svg">
          <a:extLst>
            <a:ext uri="{FF2B5EF4-FFF2-40B4-BE49-F238E27FC236}">
              <a16:creationId xmlns:a16="http://schemas.microsoft.com/office/drawing/2014/main" id="{A181F55E-F883-42E7-88B4-0147EF3962A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9639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413</xdr:row>
      <xdr:rowOff>457200</xdr:rowOff>
    </xdr:from>
    <xdr:to>
      <xdr:col>8</xdr:col>
      <xdr:colOff>190500</xdr:colOff>
      <xdr:row>415</xdr:row>
      <xdr:rowOff>9525</xdr:rowOff>
    </xdr:to>
    <xdr:sp macro="" textlink="">
      <xdr:nvSpPr>
        <xdr:cNvPr id="402" name="AutoShape 147" descr="https://1portodos.com.br/ResidencialVillage/images/proibido-preto.svg">
          <a:extLst>
            <a:ext uri="{FF2B5EF4-FFF2-40B4-BE49-F238E27FC236}">
              <a16:creationId xmlns:a16="http://schemas.microsoft.com/office/drawing/2014/main" id="{19C73BB9-7BFF-4DDE-AF32-A0A4451BD98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8933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400</xdr:row>
      <xdr:rowOff>466725</xdr:rowOff>
    </xdr:from>
    <xdr:to>
      <xdr:col>8</xdr:col>
      <xdr:colOff>190500</xdr:colOff>
      <xdr:row>402</xdr:row>
      <xdr:rowOff>9525</xdr:rowOff>
    </xdr:to>
    <xdr:sp macro="" textlink="">
      <xdr:nvSpPr>
        <xdr:cNvPr id="403" name="AutoShape 148" descr="https://1portodos.com.br/ResidencialVillage/images/proibido-preto.svg">
          <a:extLst>
            <a:ext uri="{FF2B5EF4-FFF2-40B4-BE49-F238E27FC236}">
              <a16:creationId xmlns:a16="http://schemas.microsoft.com/office/drawing/2014/main" id="{E8BA0A99-7C3E-4875-BF80-4B3F1395CB0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5161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68</xdr:row>
      <xdr:rowOff>476250</xdr:rowOff>
    </xdr:from>
    <xdr:to>
      <xdr:col>8</xdr:col>
      <xdr:colOff>190500</xdr:colOff>
      <xdr:row>70</xdr:row>
      <xdr:rowOff>9525</xdr:rowOff>
    </xdr:to>
    <xdr:sp macro="" textlink="">
      <xdr:nvSpPr>
        <xdr:cNvPr id="404" name="AutoShape 149" descr="https://1portodos.com.br/ResidencialVillage/images/proibido-preto.svg">
          <a:extLst>
            <a:ext uri="{FF2B5EF4-FFF2-40B4-BE49-F238E27FC236}">
              <a16:creationId xmlns:a16="http://schemas.microsoft.com/office/drawing/2014/main" id="{7D4BBEE7-EF89-4E40-954D-9338FDD1931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5372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70</xdr:row>
      <xdr:rowOff>485775</xdr:rowOff>
    </xdr:from>
    <xdr:to>
      <xdr:col>8</xdr:col>
      <xdr:colOff>190500</xdr:colOff>
      <xdr:row>72</xdr:row>
      <xdr:rowOff>9525</xdr:rowOff>
    </xdr:to>
    <xdr:sp macro="" textlink="">
      <xdr:nvSpPr>
        <xdr:cNvPr id="405" name="AutoShape 150" descr="https://1portodos.com.br/ResidencialVillage/images/proibido-preto.svg">
          <a:extLst>
            <a:ext uri="{FF2B5EF4-FFF2-40B4-BE49-F238E27FC236}">
              <a16:creationId xmlns:a16="http://schemas.microsoft.com/office/drawing/2014/main" id="{0DCE6820-68B0-4EBE-A27D-6758121AFB8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11053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450</xdr:row>
      <xdr:rowOff>495300</xdr:rowOff>
    </xdr:from>
    <xdr:to>
      <xdr:col>8</xdr:col>
      <xdr:colOff>190500</xdr:colOff>
      <xdr:row>452</xdr:row>
      <xdr:rowOff>9525</xdr:rowOff>
    </xdr:to>
    <xdr:sp macro="" textlink="">
      <xdr:nvSpPr>
        <xdr:cNvPr id="406" name="AutoShape 151" descr="https://1portodos.com.br/ResidencialVillage/images/proibido-preto.svg">
          <a:extLst>
            <a:ext uri="{FF2B5EF4-FFF2-40B4-BE49-F238E27FC236}">
              <a16:creationId xmlns:a16="http://schemas.microsoft.com/office/drawing/2014/main" id="{34B168BA-283D-4E4C-8D92-EC4FC8E6077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8496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421</xdr:row>
      <xdr:rowOff>504825</xdr:rowOff>
    </xdr:from>
    <xdr:to>
      <xdr:col>8</xdr:col>
      <xdr:colOff>190500</xdr:colOff>
      <xdr:row>423</xdr:row>
      <xdr:rowOff>9525</xdr:rowOff>
    </xdr:to>
    <xdr:sp macro="" textlink="">
      <xdr:nvSpPr>
        <xdr:cNvPr id="407" name="AutoShape 152" descr="https://1portodos.com.br/ResidencialVillage/images/proibido-preto.svg">
          <a:extLst>
            <a:ext uri="{FF2B5EF4-FFF2-40B4-BE49-F238E27FC236}">
              <a16:creationId xmlns:a16="http://schemas.microsoft.com/office/drawing/2014/main" id="{4C318405-F61D-4491-81C8-2DDE3CA81E6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12958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439</xdr:row>
      <xdr:rowOff>514350</xdr:rowOff>
    </xdr:from>
    <xdr:to>
      <xdr:col>8</xdr:col>
      <xdr:colOff>190500</xdr:colOff>
      <xdr:row>441</xdr:row>
      <xdr:rowOff>9525</xdr:rowOff>
    </xdr:to>
    <xdr:sp macro="" textlink="">
      <xdr:nvSpPr>
        <xdr:cNvPr id="408" name="AutoShape 153" descr="https://1portodos.com.br/ResidencialVillage/images/proibido-preto.svg">
          <a:extLst>
            <a:ext uri="{FF2B5EF4-FFF2-40B4-BE49-F238E27FC236}">
              <a16:creationId xmlns:a16="http://schemas.microsoft.com/office/drawing/2014/main" id="{7A5554B6-75B0-4AEE-8D56-F6DC52D949F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58869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410</xdr:row>
      <xdr:rowOff>523875</xdr:rowOff>
    </xdr:from>
    <xdr:to>
      <xdr:col>8</xdr:col>
      <xdr:colOff>190500</xdr:colOff>
      <xdr:row>412</xdr:row>
      <xdr:rowOff>9525</xdr:rowOff>
    </xdr:to>
    <xdr:sp macro="" textlink="">
      <xdr:nvSpPr>
        <xdr:cNvPr id="409" name="AutoShape 154" descr="https://1portodos.com.br/ResidencialVillage/images/proibido-preto.svg">
          <a:extLst>
            <a:ext uri="{FF2B5EF4-FFF2-40B4-BE49-F238E27FC236}">
              <a16:creationId xmlns:a16="http://schemas.microsoft.com/office/drawing/2014/main" id="{2BB9CC69-6CF4-4FDD-8E08-491C7B2C072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8362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425</xdr:row>
      <xdr:rowOff>533400</xdr:rowOff>
    </xdr:from>
    <xdr:to>
      <xdr:col>8</xdr:col>
      <xdr:colOff>190500</xdr:colOff>
      <xdr:row>427</xdr:row>
      <xdr:rowOff>9525</xdr:rowOff>
    </xdr:to>
    <xdr:sp macro="" textlink="">
      <xdr:nvSpPr>
        <xdr:cNvPr id="410" name="AutoShape 155" descr="https://1portodos.com.br/ResidencialVillage/images/proibido-preto.svg">
          <a:extLst>
            <a:ext uri="{FF2B5EF4-FFF2-40B4-BE49-F238E27FC236}">
              <a16:creationId xmlns:a16="http://schemas.microsoft.com/office/drawing/2014/main" id="{795A735E-80DC-4BCC-9E57-30ED475F3A9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21912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419</xdr:row>
      <xdr:rowOff>542925</xdr:rowOff>
    </xdr:from>
    <xdr:to>
      <xdr:col>8</xdr:col>
      <xdr:colOff>190500</xdr:colOff>
      <xdr:row>421</xdr:row>
      <xdr:rowOff>9525</xdr:rowOff>
    </xdr:to>
    <xdr:sp macro="" textlink="">
      <xdr:nvSpPr>
        <xdr:cNvPr id="411" name="AutoShape 156" descr="https://1portodos.com.br/ResidencialVillage/images/proibido-preto.svg">
          <a:extLst>
            <a:ext uri="{FF2B5EF4-FFF2-40B4-BE49-F238E27FC236}">
              <a16:creationId xmlns:a16="http://schemas.microsoft.com/office/drawing/2014/main" id="{D48688AE-B3AB-4949-9D22-0D81DE97481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0400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438</xdr:row>
      <xdr:rowOff>552450</xdr:rowOff>
    </xdr:from>
    <xdr:to>
      <xdr:col>8</xdr:col>
      <xdr:colOff>190500</xdr:colOff>
      <xdr:row>439</xdr:row>
      <xdr:rowOff>200025</xdr:rowOff>
    </xdr:to>
    <xdr:sp macro="" textlink="">
      <xdr:nvSpPr>
        <xdr:cNvPr id="412" name="AutoShape 157" descr="https://1portodos.com.br/ResidencialVillage/images/proibido-preto.svg">
          <a:extLst>
            <a:ext uri="{FF2B5EF4-FFF2-40B4-BE49-F238E27FC236}">
              <a16:creationId xmlns:a16="http://schemas.microsoft.com/office/drawing/2014/main" id="{85F5353C-5824-452F-AA8B-521CE4E10BF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55630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420</xdr:row>
      <xdr:rowOff>561975</xdr:rowOff>
    </xdr:from>
    <xdr:to>
      <xdr:col>8</xdr:col>
      <xdr:colOff>190500</xdr:colOff>
      <xdr:row>422</xdr:row>
      <xdr:rowOff>142875</xdr:rowOff>
    </xdr:to>
    <xdr:sp macro="" textlink="">
      <xdr:nvSpPr>
        <xdr:cNvPr id="413" name="AutoShape 158" descr="https://1portodos.com.br/ResidencialVillage/images/proibido-preto.svg">
          <a:extLst>
            <a:ext uri="{FF2B5EF4-FFF2-40B4-BE49-F238E27FC236}">
              <a16:creationId xmlns:a16="http://schemas.microsoft.com/office/drawing/2014/main" id="{68E40DAF-36EC-4F58-946C-35310B0D945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05910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443</xdr:row>
      <xdr:rowOff>571500</xdr:rowOff>
    </xdr:from>
    <xdr:to>
      <xdr:col>8</xdr:col>
      <xdr:colOff>190500</xdr:colOff>
      <xdr:row>445</xdr:row>
      <xdr:rowOff>9525</xdr:rowOff>
    </xdr:to>
    <xdr:sp macro="" textlink="">
      <xdr:nvSpPr>
        <xdr:cNvPr id="414" name="AutoShape 159" descr="https://1portodos.com.br/ResidencialVillage/images/proibido-preto.svg">
          <a:extLst>
            <a:ext uri="{FF2B5EF4-FFF2-40B4-BE49-F238E27FC236}">
              <a16:creationId xmlns:a16="http://schemas.microsoft.com/office/drawing/2014/main" id="{741000F3-EDAF-4F9C-98F1-100C73809B0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68394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422</xdr:row>
      <xdr:rowOff>85725</xdr:rowOff>
    </xdr:from>
    <xdr:to>
      <xdr:col>8</xdr:col>
      <xdr:colOff>190500</xdr:colOff>
      <xdr:row>423</xdr:row>
      <xdr:rowOff>95250</xdr:rowOff>
    </xdr:to>
    <xdr:sp macro="" textlink="">
      <xdr:nvSpPr>
        <xdr:cNvPr id="415" name="AutoShape 160" descr="https://1portodos.com.br/ResidencialVillage/images/proibido-preto.svg">
          <a:extLst>
            <a:ext uri="{FF2B5EF4-FFF2-40B4-BE49-F238E27FC236}">
              <a16:creationId xmlns:a16="http://schemas.microsoft.com/office/drawing/2014/main" id="{86438664-F816-41A9-B18B-75A0285D0F6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13816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422</xdr:row>
      <xdr:rowOff>590550</xdr:rowOff>
    </xdr:from>
    <xdr:to>
      <xdr:col>8</xdr:col>
      <xdr:colOff>190500</xdr:colOff>
      <xdr:row>424</xdr:row>
      <xdr:rowOff>9525</xdr:rowOff>
    </xdr:to>
    <xdr:sp macro="" textlink="">
      <xdr:nvSpPr>
        <xdr:cNvPr id="416" name="AutoShape 161" descr="https://1portodos.com.br/ResidencialVillage/images/proibido-preto.svg">
          <a:extLst>
            <a:ext uri="{FF2B5EF4-FFF2-40B4-BE49-F238E27FC236}">
              <a16:creationId xmlns:a16="http://schemas.microsoft.com/office/drawing/2014/main" id="{A7F661E7-7BB5-4158-AFAB-E5C5AF79618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14863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434</xdr:row>
      <xdr:rowOff>600075</xdr:rowOff>
    </xdr:from>
    <xdr:to>
      <xdr:col>8</xdr:col>
      <xdr:colOff>190500</xdr:colOff>
      <xdr:row>436</xdr:row>
      <xdr:rowOff>9525</xdr:rowOff>
    </xdr:to>
    <xdr:sp macro="" textlink="">
      <xdr:nvSpPr>
        <xdr:cNvPr id="417" name="AutoShape 162" descr="https://1portodos.com.br/ResidencialVillage/images/proibido-preto.svg">
          <a:extLst>
            <a:ext uri="{FF2B5EF4-FFF2-40B4-BE49-F238E27FC236}">
              <a16:creationId xmlns:a16="http://schemas.microsoft.com/office/drawing/2014/main" id="{3ACFA682-C10A-428B-99A0-DB50F2B5C7C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4610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440</xdr:row>
      <xdr:rowOff>609600</xdr:rowOff>
    </xdr:from>
    <xdr:to>
      <xdr:col>8</xdr:col>
      <xdr:colOff>190500</xdr:colOff>
      <xdr:row>442</xdr:row>
      <xdr:rowOff>9525</xdr:rowOff>
    </xdr:to>
    <xdr:sp macro="" textlink="">
      <xdr:nvSpPr>
        <xdr:cNvPr id="418" name="AutoShape 163" descr="https://1portodos.com.br/ResidencialVillage/images/proibido-preto.svg">
          <a:extLst>
            <a:ext uri="{FF2B5EF4-FFF2-40B4-BE49-F238E27FC236}">
              <a16:creationId xmlns:a16="http://schemas.microsoft.com/office/drawing/2014/main" id="{0DC58E2C-87ED-42C3-8AA8-E652441DA3D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62679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619125</xdr:rowOff>
    </xdr:from>
    <xdr:to>
      <xdr:col>8</xdr:col>
      <xdr:colOff>190500</xdr:colOff>
      <xdr:row>9</xdr:row>
      <xdr:rowOff>9525</xdr:rowOff>
    </xdr:to>
    <xdr:sp macro="" textlink="">
      <xdr:nvSpPr>
        <xdr:cNvPr id="419" name="AutoShape 164" descr="https://1portodos.com.br/ResidencialVillage/images/proibido-preto.svg">
          <a:extLst>
            <a:ext uri="{FF2B5EF4-FFF2-40B4-BE49-F238E27FC236}">
              <a16:creationId xmlns:a16="http://schemas.microsoft.com/office/drawing/2014/main" id="{70CE744E-1D0E-450D-AEFE-B0A7995A0C2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60774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407</xdr:row>
      <xdr:rowOff>628650</xdr:rowOff>
    </xdr:from>
    <xdr:to>
      <xdr:col>8</xdr:col>
      <xdr:colOff>190500</xdr:colOff>
      <xdr:row>409</xdr:row>
      <xdr:rowOff>9525</xdr:rowOff>
    </xdr:to>
    <xdr:sp macro="" textlink="">
      <xdr:nvSpPr>
        <xdr:cNvPr id="420" name="AutoShape 165" descr="https://1portodos.com.br/ResidencialVillage/images/proibido-preto.svg">
          <a:extLst>
            <a:ext uri="{FF2B5EF4-FFF2-40B4-BE49-F238E27FC236}">
              <a16:creationId xmlns:a16="http://schemas.microsoft.com/office/drawing/2014/main" id="{2333A277-3029-4F03-B333-628D744E5D9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7466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408</xdr:row>
      <xdr:rowOff>638175</xdr:rowOff>
    </xdr:from>
    <xdr:to>
      <xdr:col>8</xdr:col>
      <xdr:colOff>190500</xdr:colOff>
      <xdr:row>409</xdr:row>
      <xdr:rowOff>200025</xdr:rowOff>
    </xdr:to>
    <xdr:sp macro="" textlink="">
      <xdr:nvSpPr>
        <xdr:cNvPr id="421" name="AutoShape 166" descr="https://1portodos.com.br/ResidencialVillage/images/proibido-preto.svg">
          <a:extLst>
            <a:ext uri="{FF2B5EF4-FFF2-40B4-BE49-F238E27FC236}">
              <a16:creationId xmlns:a16="http://schemas.microsoft.com/office/drawing/2014/main" id="{ED7DF8DC-6091-4484-9105-31E468BE4CF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78478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412</xdr:row>
      <xdr:rowOff>647700</xdr:rowOff>
    </xdr:from>
    <xdr:to>
      <xdr:col>8</xdr:col>
      <xdr:colOff>190500</xdr:colOff>
      <xdr:row>414</xdr:row>
      <xdr:rowOff>9525</xdr:rowOff>
    </xdr:to>
    <xdr:sp macro="" textlink="">
      <xdr:nvSpPr>
        <xdr:cNvPr id="422" name="AutoShape 167" descr="https://1portodos.com.br/ResidencialVillage/images/proibido-preto.svg">
          <a:extLst>
            <a:ext uri="{FF2B5EF4-FFF2-40B4-BE49-F238E27FC236}">
              <a16:creationId xmlns:a16="http://schemas.microsoft.com/office/drawing/2014/main" id="{8EE706A7-6FF0-47FD-AD7C-132125A889A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8743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405</xdr:row>
      <xdr:rowOff>657225</xdr:rowOff>
    </xdr:from>
    <xdr:to>
      <xdr:col>8</xdr:col>
      <xdr:colOff>190500</xdr:colOff>
      <xdr:row>406</xdr:row>
      <xdr:rowOff>200025</xdr:rowOff>
    </xdr:to>
    <xdr:sp macro="" textlink="">
      <xdr:nvSpPr>
        <xdr:cNvPr id="423" name="AutoShape 168" descr="https://1portodos.com.br/ResidencialVillage/images/proibido-preto.svg">
          <a:extLst>
            <a:ext uri="{FF2B5EF4-FFF2-40B4-BE49-F238E27FC236}">
              <a16:creationId xmlns:a16="http://schemas.microsoft.com/office/drawing/2014/main" id="{A4283620-F7FA-4157-805B-EA145174088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69524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457</xdr:row>
      <xdr:rowOff>666750</xdr:rowOff>
    </xdr:from>
    <xdr:to>
      <xdr:col>8</xdr:col>
      <xdr:colOff>190500</xdr:colOff>
      <xdr:row>459</xdr:row>
      <xdr:rowOff>9525</xdr:rowOff>
    </xdr:to>
    <xdr:sp macro="" textlink="">
      <xdr:nvSpPr>
        <xdr:cNvPr id="424" name="AutoShape 169" descr="https://1portodos.com.br/ResidencialVillage/images/proibido-preto.svg">
          <a:extLst>
            <a:ext uri="{FF2B5EF4-FFF2-40B4-BE49-F238E27FC236}">
              <a16:creationId xmlns:a16="http://schemas.microsoft.com/office/drawing/2014/main" id="{AF567389-4B64-41F5-A31A-D3E0CFF2327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9830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418</xdr:row>
      <xdr:rowOff>676275</xdr:rowOff>
    </xdr:from>
    <xdr:to>
      <xdr:col>8</xdr:col>
      <xdr:colOff>190500</xdr:colOff>
      <xdr:row>420</xdr:row>
      <xdr:rowOff>9525</xdr:rowOff>
    </xdr:to>
    <xdr:sp macro="" textlink="">
      <xdr:nvSpPr>
        <xdr:cNvPr id="425" name="AutoShape 170" descr="https://1portodos.com.br/ResidencialVillage/images/proibido-preto.svg">
          <a:extLst>
            <a:ext uri="{FF2B5EF4-FFF2-40B4-BE49-F238E27FC236}">
              <a16:creationId xmlns:a16="http://schemas.microsoft.com/office/drawing/2014/main" id="{FE525905-D07E-4223-A600-7556A8D4F3E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02100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86</xdr:row>
      <xdr:rowOff>685800</xdr:rowOff>
    </xdr:from>
    <xdr:to>
      <xdr:col>8</xdr:col>
      <xdr:colOff>190500</xdr:colOff>
      <xdr:row>88</xdr:row>
      <xdr:rowOff>9525</xdr:rowOff>
    </xdr:to>
    <xdr:sp macro="" textlink="">
      <xdr:nvSpPr>
        <xdr:cNvPr id="426" name="AutoShape 171" descr="https://1portodos.com.br/ResidencialVillage/images/proibido-preto.svg">
          <a:extLst>
            <a:ext uri="{FF2B5EF4-FFF2-40B4-BE49-F238E27FC236}">
              <a16:creationId xmlns:a16="http://schemas.microsoft.com/office/drawing/2014/main" id="{98A7CC3E-5FBE-4518-8982-CB6124E6675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6247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414</xdr:row>
      <xdr:rowOff>695325</xdr:rowOff>
    </xdr:from>
    <xdr:to>
      <xdr:col>8</xdr:col>
      <xdr:colOff>190500</xdr:colOff>
      <xdr:row>416</xdr:row>
      <xdr:rowOff>9525</xdr:rowOff>
    </xdr:to>
    <xdr:sp macro="" textlink="">
      <xdr:nvSpPr>
        <xdr:cNvPr id="427" name="AutoShape 172" descr="https://1portodos.com.br/ResidencialVillage/images/proibido-preto.svg">
          <a:extLst>
            <a:ext uri="{FF2B5EF4-FFF2-40B4-BE49-F238E27FC236}">
              <a16:creationId xmlns:a16="http://schemas.microsoft.com/office/drawing/2014/main" id="{25814F1B-7032-499E-8925-94569559A58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9257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402</xdr:row>
      <xdr:rowOff>704850</xdr:rowOff>
    </xdr:from>
    <xdr:to>
      <xdr:col>8</xdr:col>
      <xdr:colOff>190500</xdr:colOff>
      <xdr:row>404</xdr:row>
      <xdr:rowOff>9525</xdr:rowOff>
    </xdr:to>
    <xdr:sp macro="" textlink="">
      <xdr:nvSpPr>
        <xdr:cNvPr id="428" name="AutoShape 173" descr="https://1portodos.com.br/ResidencialVillage/images/proibido-preto.svg">
          <a:extLst>
            <a:ext uri="{FF2B5EF4-FFF2-40B4-BE49-F238E27FC236}">
              <a16:creationId xmlns:a16="http://schemas.microsoft.com/office/drawing/2014/main" id="{799CDD4F-E246-474E-B1AE-14F6E06186F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5542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</xdr:row>
      <xdr:rowOff>714375</xdr:rowOff>
    </xdr:from>
    <xdr:to>
      <xdr:col>8</xdr:col>
      <xdr:colOff>190500</xdr:colOff>
      <xdr:row>47</xdr:row>
      <xdr:rowOff>9525</xdr:rowOff>
    </xdr:to>
    <xdr:sp macro="" textlink="">
      <xdr:nvSpPr>
        <xdr:cNvPr id="429" name="AutoShape 174" descr="https://1portodos.com.br/ResidencialVillage/images/proibido-preto.svg">
          <a:extLst>
            <a:ext uri="{FF2B5EF4-FFF2-40B4-BE49-F238E27FC236}">
              <a16:creationId xmlns:a16="http://schemas.microsoft.com/office/drawing/2014/main" id="{65C65B5E-00E6-4730-A845-709B10D37A1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94480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442</xdr:row>
      <xdr:rowOff>723900</xdr:rowOff>
    </xdr:from>
    <xdr:to>
      <xdr:col>8</xdr:col>
      <xdr:colOff>190500</xdr:colOff>
      <xdr:row>444</xdr:row>
      <xdr:rowOff>9525</xdr:rowOff>
    </xdr:to>
    <xdr:sp macro="" textlink="">
      <xdr:nvSpPr>
        <xdr:cNvPr id="430" name="AutoShape 175" descr="https://1portodos.com.br/ResidencialVillage/images/proibido-preto.svg">
          <a:extLst>
            <a:ext uri="{FF2B5EF4-FFF2-40B4-BE49-F238E27FC236}">
              <a16:creationId xmlns:a16="http://schemas.microsoft.com/office/drawing/2014/main" id="{19EF59A6-5C59-4172-86F3-91E1D6E9014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66489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403</xdr:row>
      <xdr:rowOff>733425</xdr:rowOff>
    </xdr:from>
    <xdr:to>
      <xdr:col>8</xdr:col>
      <xdr:colOff>190500</xdr:colOff>
      <xdr:row>405</xdr:row>
      <xdr:rowOff>9525</xdr:rowOff>
    </xdr:to>
    <xdr:sp macro="" textlink="">
      <xdr:nvSpPr>
        <xdr:cNvPr id="431" name="AutoShape 176" descr="https://1portodos.com.br/ResidencialVillage/images/proibido-preto.svg">
          <a:extLst>
            <a:ext uri="{FF2B5EF4-FFF2-40B4-BE49-F238E27FC236}">
              <a16:creationId xmlns:a16="http://schemas.microsoft.com/office/drawing/2014/main" id="{1397DFBD-F5A6-487F-853B-886D3D58CB1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5733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432</xdr:row>
      <xdr:rowOff>742950</xdr:rowOff>
    </xdr:from>
    <xdr:to>
      <xdr:col>8</xdr:col>
      <xdr:colOff>190500</xdr:colOff>
      <xdr:row>434</xdr:row>
      <xdr:rowOff>9525</xdr:rowOff>
    </xdr:to>
    <xdr:sp macro="" textlink="">
      <xdr:nvSpPr>
        <xdr:cNvPr id="432" name="AutoShape 177" descr="https://1portodos.com.br/ResidencialVillage/images/proibido-preto.svg">
          <a:extLst>
            <a:ext uri="{FF2B5EF4-FFF2-40B4-BE49-F238E27FC236}">
              <a16:creationId xmlns:a16="http://schemas.microsoft.com/office/drawing/2014/main" id="{8E63FFAD-8D15-4D70-9A31-5D246201819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40390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451</xdr:row>
      <xdr:rowOff>752475</xdr:rowOff>
    </xdr:from>
    <xdr:to>
      <xdr:col>8</xdr:col>
      <xdr:colOff>190500</xdr:colOff>
      <xdr:row>453</xdr:row>
      <xdr:rowOff>9525</xdr:rowOff>
    </xdr:to>
    <xdr:sp macro="" textlink="">
      <xdr:nvSpPr>
        <xdr:cNvPr id="433" name="AutoShape 178" descr="https://1portodos.com.br/ResidencialVillage/images/proibido-preto.svg">
          <a:extLst>
            <a:ext uri="{FF2B5EF4-FFF2-40B4-BE49-F238E27FC236}">
              <a16:creationId xmlns:a16="http://schemas.microsoft.com/office/drawing/2014/main" id="{D367301A-0228-4B8E-BFC6-33361BD89FD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8687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452</xdr:row>
      <xdr:rowOff>762000</xdr:rowOff>
    </xdr:from>
    <xdr:to>
      <xdr:col>8</xdr:col>
      <xdr:colOff>190500</xdr:colOff>
      <xdr:row>454</xdr:row>
      <xdr:rowOff>9525</xdr:rowOff>
    </xdr:to>
    <xdr:sp macro="" textlink="">
      <xdr:nvSpPr>
        <xdr:cNvPr id="434" name="AutoShape 179" descr="https://1portodos.com.br/ResidencialVillage/images/proibido-preto.svg">
          <a:extLst>
            <a:ext uri="{FF2B5EF4-FFF2-40B4-BE49-F238E27FC236}">
              <a16:creationId xmlns:a16="http://schemas.microsoft.com/office/drawing/2014/main" id="{4D198391-1445-4155-A84D-B5D8276E253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8877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453</xdr:row>
      <xdr:rowOff>771525</xdr:rowOff>
    </xdr:from>
    <xdr:to>
      <xdr:col>8</xdr:col>
      <xdr:colOff>190500</xdr:colOff>
      <xdr:row>455</xdr:row>
      <xdr:rowOff>9525</xdr:rowOff>
    </xdr:to>
    <xdr:sp macro="" textlink="">
      <xdr:nvSpPr>
        <xdr:cNvPr id="435" name="AutoShape 180" descr="https://1portodos.com.br/ResidencialVillage/images/proibido-preto.svg">
          <a:extLst>
            <a:ext uri="{FF2B5EF4-FFF2-40B4-BE49-F238E27FC236}">
              <a16:creationId xmlns:a16="http://schemas.microsoft.com/office/drawing/2014/main" id="{B2DB8B30-A89E-46AC-97F2-620008227D4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9068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460</xdr:row>
      <xdr:rowOff>781050</xdr:rowOff>
    </xdr:from>
    <xdr:to>
      <xdr:col>8</xdr:col>
      <xdr:colOff>190500</xdr:colOff>
      <xdr:row>462</xdr:row>
      <xdr:rowOff>9525</xdr:rowOff>
    </xdr:to>
    <xdr:sp macro="" textlink="">
      <xdr:nvSpPr>
        <xdr:cNvPr id="436" name="AutoShape 181" descr="https://1portodos.com.br/ResidencialVillage/images/proibido-preto.svg">
          <a:extLst>
            <a:ext uri="{FF2B5EF4-FFF2-40B4-BE49-F238E27FC236}">
              <a16:creationId xmlns:a16="http://schemas.microsoft.com/office/drawing/2014/main" id="{647032B7-6B46-403D-B68E-0FE9941FD22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0401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435</xdr:row>
      <xdr:rowOff>790575</xdr:rowOff>
    </xdr:from>
    <xdr:to>
      <xdr:col>8</xdr:col>
      <xdr:colOff>190500</xdr:colOff>
      <xdr:row>437</xdr:row>
      <xdr:rowOff>9525</xdr:rowOff>
    </xdr:to>
    <xdr:sp macro="" textlink="">
      <xdr:nvSpPr>
        <xdr:cNvPr id="437" name="AutoShape 182" descr="https://1portodos.com.br/ResidencialVillage/images/proibido-preto.svg">
          <a:extLst>
            <a:ext uri="{FF2B5EF4-FFF2-40B4-BE49-F238E27FC236}">
              <a16:creationId xmlns:a16="http://schemas.microsoft.com/office/drawing/2014/main" id="{6351BCC8-85CE-42D5-A703-6F83CEA6D07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48010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415</xdr:row>
      <xdr:rowOff>800100</xdr:rowOff>
    </xdr:from>
    <xdr:to>
      <xdr:col>8</xdr:col>
      <xdr:colOff>190500</xdr:colOff>
      <xdr:row>417</xdr:row>
      <xdr:rowOff>9525</xdr:rowOff>
    </xdr:to>
    <xdr:sp macro="" textlink="">
      <xdr:nvSpPr>
        <xdr:cNvPr id="438" name="AutoShape 183" descr="https://1portodos.com.br/ResidencialVillage/images/proibido-preto.svg">
          <a:extLst>
            <a:ext uri="{FF2B5EF4-FFF2-40B4-BE49-F238E27FC236}">
              <a16:creationId xmlns:a16="http://schemas.microsoft.com/office/drawing/2014/main" id="{C2AF27ED-5480-404D-A3AB-A7BC1474DE8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9638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470</xdr:row>
      <xdr:rowOff>152400</xdr:rowOff>
    </xdr:from>
    <xdr:to>
      <xdr:col>8</xdr:col>
      <xdr:colOff>190500</xdr:colOff>
      <xdr:row>471</xdr:row>
      <xdr:rowOff>161925</xdr:rowOff>
    </xdr:to>
    <xdr:sp macro="" textlink="">
      <xdr:nvSpPr>
        <xdr:cNvPr id="439" name="AutoShape 184" descr="https://1portodos.com.br/ResidencialVillage/images/proibido-preto.svg">
          <a:extLst>
            <a:ext uri="{FF2B5EF4-FFF2-40B4-BE49-F238E27FC236}">
              <a16:creationId xmlns:a16="http://schemas.microsoft.com/office/drawing/2014/main" id="{B1DDA5CC-6E83-4E79-B1C7-93D34D41477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28401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426</xdr:row>
      <xdr:rowOff>0</xdr:rowOff>
    </xdr:from>
    <xdr:to>
      <xdr:col>8</xdr:col>
      <xdr:colOff>190500</xdr:colOff>
      <xdr:row>427</xdr:row>
      <xdr:rowOff>9525</xdr:rowOff>
    </xdr:to>
    <xdr:sp macro="" textlink="">
      <xdr:nvSpPr>
        <xdr:cNvPr id="440" name="AutoShape 185" descr="https://1portodos.com.br/ResidencialVillage/images/proibido-preto.svg">
          <a:extLst>
            <a:ext uri="{FF2B5EF4-FFF2-40B4-BE49-F238E27FC236}">
              <a16:creationId xmlns:a16="http://schemas.microsoft.com/office/drawing/2014/main" id="{5A3F1656-1EDA-4A00-ABAC-1CF5E74BFFA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21912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429</xdr:row>
      <xdr:rowOff>171450</xdr:rowOff>
    </xdr:from>
    <xdr:to>
      <xdr:col>8</xdr:col>
      <xdr:colOff>190500</xdr:colOff>
      <xdr:row>430</xdr:row>
      <xdr:rowOff>180975</xdr:rowOff>
    </xdr:to>
    <xdr:sp macro="" textlink="">
      <xdr:nvSpPr>
        <xdr:cNvPr id="441" name="AutoShape 186" descr="https://1portodos.com.br/ResidencialVillage/images/proibido-preto.svg">
          <a:extLst>
            <a:ext uri="{FF2B5EF4-FFF2-40B4-BE49-F238E27FC236}">
              <a16:creationId xmlns:a16="http://schemas.microsoft.com/office/drawing/2014/main" id="{8ED58B7C-FF28-47CD-8061-7BA410A2EF3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3067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433</xdr:row>
      <xdr:rowOff>19050</xdr:rowOff>
    </xdr:from>
    <xdr:to>
      <xdr:col>8</xdr:col>
      <xdr:colOff>190500</xdr:colOff>
      <xdr:row>434</xdr:row>
      <xdr:rowOff>28575</xdr:rowOff>
    </xdr:to>
    <xdr:sp macro="" textlink="">
      <xdr:nvSpPr>
        <xdr:cNvPr id="442" name="AutoShape 187" descr="https://1portodos.com.br/ResidencialVillage/images/proibido-preto.svg">
          <a:extLst>
            <a:ext uri="{FF2B5EF4-FFF2-40B4-BE49-F238E27FC236}">
              <a16:creationId xmlns:a16="http://schemas.microsoft.com/office/drawing/2014/main" id="{F048D8A3-45D5-45C0-B00A-254327980DF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42486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433</xdr:row>
      <xdr:rowOff>847725</xdr:rowOff>
    </xdr:from>
    <xdr:to>
      <xdr:col>8</xdr:col>
      <xdr:colOff>190500</xdr:colOff>
      <xdr:row>435</xdr:row>
      <xdr:rowOff>9525</xdr:rowOff>
    </xdr:to>
    <xdr:sp macro="" textlink="">
      <xdr:nvSpPr>
        <xdr:cNvPr id="443" name="AutoShape 188" descr="https://1portodos.com.br/ResidencialVillage/images/proibido-preto.svg">
          <a:extLst>
            <a:ext uri="{FF2B5EF4-FFF2-40B4-BE49-F238E27FC236}">
              <a16:creationId xmlns:a16="http://schemas.microsoft.com/office/drawing/2014/main" id="{2F09A486-9472-4781-8A7E-37191D3E4E0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44200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66</xdr:row>
      <xdr:rowOff>857250</xdr:rowOff>
    </xdr:from>
    <xdr:to>
      <xdr:col>8</xdr:col>
      <xdr:colOff>190500</xdr:colOff>
      <xdr:row>68</xdr:row>
      <xdr:rowOff>9525</xdr:rowOff>
    </xdr:to>
    <xdr:sp macro="" textlink="">
      <xdr:nvSpPr>
        <xdr:cNvPr id="444" name="AutoShape 189" descr="https://1portodos.com.br/ResidencialVillage/images/proibido-preto.svg">
          <a:extLst>
            <a:ext uri="{FF2B5EF4-FFF2-40B4-BE49-F238E27FC236}">
              <a16:creationId xmlns:a16="http://schemas.microsoft.com/office/drawing/2014/main" id="{0D8B77BD-2F9F-43D7-A480-3C62A01D8E0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42295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427</xdr:row>
      <xdr:rowOff>47625</xdr:rowOff>
    </xdr:from>
    <xdr:to>
      <xdr:col>8</xdr:col>
      <xdr:colOff>190500</xdr:colOff>
      <xdr:row>428</xdr:row>
      <xdr:rowOff>57150</xdr:rowOff>
    </xdr:to>
    <xdr:sp macro="" textlink="">
      <xdr:nvSpPr>
        <xdr:cNvPr id="445" name="AutoShape 190" descr="https://1portodos.com.br/ResidencialVillage/images/proibido-preto.svg">
          <a:extLst>
            <a:ext uri="{FF2B5EF4-FFF2-40B4-BE49-F238E27FC236}">
              <a16:creationId xmlns:a16="http://schemas.microsoft.com/office/drawing/2014/main" id="{1B0DB8EE-8D39-4A67-B81B-262C002949C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824293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399</xdr:row>
      <xdr:rowOff>381000</xdr:rowOff>
    </xdr:from>
    <xdr:to>
      <xdr:col>8</xdr:col>
      <xdr:colOff>190500</xdr:colOff>
      <xdr:row>401</xdr:row>
      <xdr:rowOff>9525</xdr:rowOff>
    </xdr:to>
    <xdr:sp macro="" textlink="">
      <xdr:nvSpPr>
        <xdr:cNvPr id="446" name="AutoShape 191" descr="https://1portodos.com.br/ResidencialVillage/images/proibido-preto.svg">
          <a:extLst>
            <a:ext uri="{FF2B5EF4-FFF2-40B4-BE49-F238E27FC236}">
              <a16:creationId xmlns:a16="http://schemas.microsoft.com/office/drawing/2014/main" id="{A7415406-D191-4F4F-98E0-090F27847B9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49712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395</xdr:row>
      <xdr:rowOff>66675</xdr:rowOff>
    </xdr:from>
    <xdr:to>
      <xdr:col>8</xdr:col>
      <xdr:colOff>190500</xdr:colOff>
      <xdr:row>396</xdr:row>
      <xdr:rowOff>76200</xdr:rowOff>
    </xdr:to>
    <xdr:sp macro="" textlink="">
      <xdr:nvSpPr>
        <xdr:cNvPr id="447" name="AutoShape 192" descr="https://1portodos.com.br/ResidencialVillage/images/proibido-preto.svg">
          <a:extLst>
            <a:ext uri="{FF2B5EF4-FFF2-40B4-BE49-F238E27FC236}">
              <a16:creationId xmlns:a16="http://schemas.microsoft.com/office/drawing/2014/main" id="{96421AA9-26E9-4C5F-BF8C-793CD0CCC03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389495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395</xdr:row>
      <xdr:rowOff>895350</xdr:rowOff>
    </xdr:from>
    <xdr:to>
      <xdr:col>8</xdr:col>
      <xdr:colOff>190500</xdr:colOff>
      <xdr:row>397</xdr:row>
      <xdr:rowOff>9525</xdr:rowOff>
    </xdr:to>
    <xdr:sp macro="" textlink="">
      <xdr:nvSpPr>
        <xdr:cNvPr id="448" name="AutoShape 193" descr="https://1portodos.com.br/ResidencialVillage/images/proibido-preto.svg">
          <a:extLst>
            <a:ext uri="{FF2B5EF4-FFF2-40B4-BE49-F238E27FC236}">
              <a16:creationId xmlns:a16="http://schemas.microsoft.com/office/drawing/2014/main" id="{C8DB28A2-4150-4915-B00A-2E86351BF13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401877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474</xdr:row>
      <xdr:rowOff>85725</xdr:rowOff>
    </xdr:from>
    <xdr:to>
      <xdr:col>8</xdr:col>
      <xdr:colOff>190500</xdr:colOff>
      <xdr:row>475</xdr:row>
      <xdr:rowOff>95250</xdr:rowOff>
    </xdr:to>
    <xdr:sp macro="" textlink="">
      <xdr:nvSpPr>
        <xdr:cNvPr id="449" name="AutoShape 194" descr="https://1portodos.com.br/ResidencialVillage/images/proibido-preto.svg">
          <a:extLst>
            <a:ext uri="{FF2B5EF4-FFF2-40B4-BE49-F238E27FC236}">
              <a16:creationId xmlns:a16="http://schemas.microsoft.com/office/drawing/2014/main" id="{BC1A926B-EB08-419A-9462-12DF6B5591A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3535500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87</xdr:row>
      <xdr:rowOff>95250</xdr:rowOff>
    </xdr:from>
    <xdr:to>
      <xdr:col>8</xdr:col>
      <xdr:colOff>190500</xdr:colOff>
      <xdr:row>88</xdr:row>
      <xdr:rowOff>104775</xdr:rowOff>
    </xdr:to>
    <xdr:sp macro="" textlink="">
      <xdr:nvSpPr>
        <xdr:cNvPr id="450" name="AutoShape 195" descr="https://1portodos.com.br/ResidencialVillage/images/proibido-preto.svg">
          <a:extLst>
            <a:ext uri="{FF2B5EF4-FFF2-40B4-BE49-F238E27FC236}">
              <a16:creationId xmlns:a16="http://schemas.microsoft.com/office/drawing/2014/main" id="{A0F42898-456B-4455-9F93-688398956CE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1068525"/>
          <a:ext cx="1905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392</xdr:row>
      <xdr:rowOff>85725</xdr:rowOff>
    </xdr:from>
    <xdr:to>
      <xdr:col>8</xdr:col>
      <xdr:colOff>190500</xdr:colOff>
      <xdr:row>393</xdr:row>
      <xdr:rowOff>85725</xdr:rowOff>
    </xdr:to>
    <xdr:sp macro="" textlink="">
      <xdr:nvSpPr>
        <xdr:cNvPr id="451" name="AutoShape 68" descr="https://1portodos.com.br/ResidencialVillage/images/proibido-preto.svg">
          <a:extLst>
            <a:ext uri="{FF2B5EF4-FFF2-40B4-BE49-F238E27FC236}">
              <a16:creationId xmlns:a16="http://schemas.microsoft.com/office/drawing/2014/main" id="{C2648767-225D-45FB-BBD9-53952DD41DC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733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190500</xdr:colOff>
      <xdr:row>18</xdr:row>
      <xdr:rowOff>142875</xdr:rowOff>
    </xdr:to>
    <xdr:sp macro="" textlink="">
      <xdr:nvSpPr>
        <xdr:cNvPr id="452" name="AutoShape 1" descr="https://1portodos.com.br/ResidencialVillage/images/proibido-preto.svg">
          <a:extLst>
            <a:ext uri="{FF2B5EF4-FFF2-40B4-BE49-F238E27FC236}">
              <a16:creationId xmlns:a16="http://schemas.microsoft.com/office/drawing/2014/main" id="{14E6FF98-556E-4FB2-A5B5-DCD321F827F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7699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481</xdr:row>
      <xdr:rowOff>9525</xdr:rowOff>
    </xdr:from>
    <xdr:to>
      <xdr:col>8</xdr:col>
      <xdr:colOff>190500</xdr:colOff>
      <xdr:row>482</xdr:row>
      <xdr:rowOff>152400</xdr:rowOff>
    </xdr:to>
    <xdr:sp macro="" textlink="">
      <xdr:nvSpPr>
        <xdr:cNvPr id="453" name="AutoShape 2" descr="https://1portodos.com.br/ResidencialVillage/images/proibido-preto.svg">
          <a:extLst>
            <a:ext uri="{FF2B5EF4-FFF2-40B4-BE49-F238E27FC236}">
              <a16:creationId xmlns:a16="http://schemas.microsoft.com/office/drawing/2014/main" id="{A5971C56-694D-4567-AF0C-6D024FD0E27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54976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494</xdr:row>
      <xdr:rowOff>19050</xdr:rowOff>
    </xdr:from>
    <xdr:to>
      <xdr:col>8</xdr:col>
      <xdr:colOff>190500</xdr:colOff>
      <xdr:row>495</xdr:row>
      <xdr:rowOff>161925</xdr:rowOff>
    </xdr:to>
    <xdr:sp macro="" textlink="">
      <xdr:nvSpPr>
        <xdr:cNvPr id="454" name="AutoShape 3" descr="https://1portodos.com.br/ResidencialVillage/images/proibido-preto.svg">
          <a:extLst>
            <a:ext uri="{FF2B5EF4-FFF2-40B4-BE49-F238E27FC236}">
              <a16:creationId xmlns:a16="http://schemas.microsoft.com/office/drawing/2014/main" id="{1962F84A-ED9B-49CF-B648-53804E9A74B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8555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523</xdr:row>
      <xdr:rowOff>28575</xdr:rowOff>
    </xdr:from>
    <xdr:to>
      <xdr:col>8</xdr:col>
      <xdr:colOff>190500</xdr:colOff>
      <xdr:row>524</xdr:row>
      <xdr:rowOff>171450</xdr:rowOff>
    </xdr:to>
    <xdr:sp macro="" textlink="">
      <xdr:nvSpPr>
        <xdr:cNvPr id="455" name="AutoShape 4" descr="https://1portodos.com.br/ResidencialVillage/images/proibido-preto.svg">
          <a:extLst>
            <a:ext uri="{FF2B5EF4-FFF2-40B4-BE49-F238E27FC236}">
              <a16:creationId xmlns:a16="http://schemas.microsoft.com/office/drawing/2014/main" id="{1B5D3C7E-40B9-4EA6-BC6F-1EDBAE80963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51750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517</xdr:row>
      <xdr:rowOff>38100</xdr:rowOff>
    </xdr:from>
    <xdr:to>
      <xdr:col>8</xdr:col>
      <xdr:colOff>190500</xdr:colOff>
      <xdr:row>518</xdr:row>
      <xdr:rowOff>180975</xdr:rowOff>
    </xdr:to>
    <xdr:sp macro="" textlink="">
      <xdr:nvSpPr>
        <xdr:cNvPr id="456" name="AutoShape 5" descr="https://1portodos.com.br/ResidencialVillage/images/proibido-preto.svg">
          <a:extLst>
            <a:ext uri="{FF2B5EF4-FFF2-40B4-BE49-F238E27FC236}">
              <a16:creationId xmlns:a16="http://schemas.microsoft.com/office/drawing/2014/main" id="{10573EAA-9809-44BE-B166-4F0077522AE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36605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510</xdr:row>
      <xdr:rowOff>47625</xdr:rowOff>
    </xdr:from>
    <xdr:to>
      <xdr:col>8</xdr:col>
      <xdr:colOff>190500</xdr:colOff>
      <xdr:row>512</xdr:row>
      <xdr:rowOff>0</xdr:rowOff>
    </xdr:to>
    <xdr:sp macro="" textlink="">
      <xdr:nvSpPr>
        <xdr:cNvPr id="457" name="AutoShape 6" descr="https://1portodos.com.br/ResidencialVillage/images/proibido-preto.svg">
          <a:extLst>
            <a:ext uri="{FF2B5EF4-FFF2-40B4-BE49-F238E27FC236}">
              <a16:creationId xmlns:a16="http://schemas.microsoft.com/office/drawing/2014/main" id="{33143E39-728B-4F2C-A2FE-58DA3CF775A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21461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505</xdr:row>
      <xdr:rowOff>57150</xdr:rowOff>
    </xdr:from>
    <xdr:to>
      <xdr:col>8</xdr:col>
      <xdr:colOff>190500</xdr:colOff>
      <xdr:row>507</xdr:row>
      <xdr:rowOff>9525</xdr:rowOff>
    </xdr:to>
    <xdr:sp macro="" textlink="">
      <xdr:nvSpPr>
        <xdr:cNvPr id="458" name="AutoShape 7" descr="https://1portodos.com.br/ResidencialVillage/images/proibido-preto.svg">
          <a:extLst>
            <a:ext uri="{FF2B5EF4-FFF2-40B4-BE49-F238E27FC236}">
              <a16:creationId xmlns:a16="http://schemas.microsoft.com/office/drawing/2014/main" id="{ACD1A989-93FE-4043-A2C2-C6DCC3ED4D2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1012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504</xdr:row>
      <xdr:rowOff>66675</xdr:rowOff>
    </xdr:from>
    <xdr:to>
      <xdr:col>8</xdr:col>
      <xdr:colOff>190500</xdr:colOff>
      <xdr:row>506</xdr:row>
      <xdr:rowOff>19050</xdr:rowOff>
    </xdr:to>
    <xdr:sp macro="" textlink="">
      <xdr:nvSpPr>
        <xdr:cNvPr id="459" name="AutoShape 8" descr="https://1portodos.com.br/ResidencialVillage/images/proibido-preto.svg">
          <a:extLst>
            <a:ext uri="{FF2B5EF4-FFF2-40B4-BE49-F238E27FC236}">
              <a16:creationId xmlns:a16="http://schemas.microsoft.com/office/drawing/2014/main" id="{E65BDD7C-F4B9-4AEA-B78B-0B9B46AF4DE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08316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507</xdr:row>
      <xdr:rowOff>76200</xdr:rowOff>
    </xdr:from>
    <xdr:to>
      <xdr:col>8</xdr:col>
      <xdr:colOff>190500</xdr:colOff>
      <xdr:row>509</xdr:row>
      <xdr:rowOff>28575</xdr:rowOff>
    </xdr:to>
    <xdr:sp macro="" textlink="">
      <xdr:nvSpPr>
        <xdr:cNvPr id="460" name="AutoShape 9" descr="https://1portodos.com.br/ResidencialVillage/images/proibido-preto.svg">
          <a:extLst>
            <a:ext uri="{FF2B5EF4-FFF2-40B4-BE49-F238E27FC236}">
              <a16:creationId xmlns:a16="http://schemas.microsoft.com/office/drawing/2014/main" id="{7450EA7F-4C28-41CE-9E0C-C88EDC21434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1412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540</xdr:row>
      <xdr:rowOff>85725</xdr:rowOff>
    </xdr:from>
    <xdr:to>
      <xdr:col>8</xdr:col>
      <xdr:colOff>190500</xdr:colOff>
      <xdr:row>542</xdr:row>
      <xdr:rowOff>38100</xdr:rowOff>
    </xdr:to>
    <xdr:sp macro="" textlink="">
      <xdr:nvSpPr>
        <xdr:cNvPr id="461" name="AutoShape 10" descr="https://1portodos.com.br/ResidencialVillage/images/proibido-preto.svg">
          <a:extLst>
            <a:ext uri="{FF2B5EF4-FFF2-40B4-BE49-F238E27FC236}">
              <a16:creationId xmlns:a16="http://schemas.microsoft.com/office/drawing/2014/main" id="{9152A103-65B1-4DB9-BED7-1B781FC024E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02614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549</xdr:row>
      <xdr:rowOff>95250</xdr:rowOff>
    </xdr:from>
    <xdr:to>
      <xdr:col>8</xdr:col>
      <xdr:colOff>190500</xdr:colOff>
      <xdr:row>551</xdr:row>
      <xdr:rowOff>47625</xdr:rowOff>
    </xdr:to>
    <xdr:sp macro="" textlink="">
      <xdr:nvSpPr>
        <xdr:cNvPr id="462" name="AutoShape 11" descr="https://1portodos.com.br/ResidencialVillage/images/proibido-preto.svg">
          <a:extLst>
            <a:ext uri="{FF2B5EF4-FFF2-40B4-BE49-F238E27FC236}">
              <a16:creationId xmlns:a16="http://schemas.microsoft.com/office/drawing/2014/main" id="{FF088826-9E36-47DB-BB3D-EF184F7EE2A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19854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</xdr:row>
      <xdr:rowOff>104775</xdr:rowOff>
    </xdr:from>
    <xdr:to>
      <xdr:col>8</xdr:col>
      <xdr:colOff>190500</xdr:colOff>
      <xdr:row>50</xdr:row>
      <xdr:rowOff>57150</xdr:rowOff>
    </xdr:to>
    <xdr:sp macro="" textlink="">
      <xdr:nvSpPr>
        <xdr:cNvPr id="463" name="AutoShape 12" descr="https://1portodos.com.br/ResidencialVillage/images/proibido-preto.svg">
          <a:extLst>
            <a:ext uri="{FF2B5EF4-FFF2-40B4-BE49-F238E27FC236}">
              <a16:creationId xmlns:a16="http://schemas.microsoft.com/office/drawing/2014/main" id="{BDFE9F46-7704-4302-ACB1-46ACF620A2B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41260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518</xdr:row>
      <xdr:rowOff>114300</xdr:rowOff>
    </xdr:from>
    <xdr:to>
      <xdr:col>8</xdr:col>
      <xdr:colOff>190500</xdr:colOff>
      <xdr:row>520</xdr:row>
      <xdr:rowOff>66675</xdr:rowOff>
    </xdr:to>
    <xdr:sp macro="" textlink="">
      <xdr:nvSpPr>
        <xdr:cNvPr id="464" name="AutoShape 13" descr="https://1portodos.com.br/ResidencialVillage/images/proibido-preto.svg">
          <a:extLst>
            <a:ext uri="{FF2B5EF4-FFF2-40B4-BE49-F238E27FC236}">
              <a16:creationId xmlns:a16="http://schemas.microsoft.com/office/drawing/2014/main" id="{1D086085-2550-4D43-8CC3-6867B6118EE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39272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535</xdr:row>
      <xdr:rowOff>123825</xdr:rowOff>
    </xdr:from>
    <xdr:to>
      <xdr:col>8</xdr:col>
      <xdr:colOff>190500</xdr:colOff>
      <xdr:row>537</xdr:row>
      <xdr:rowOff>76200</xdr:rowOff>
    </xdr:to>
    <xdr:sp macro="" textlink="">
      <xdr:nvSpPr>
        <xdr:cNvPr id="465" name="AutoShape 14" descr="https://1portodos.com.br/ResidencialVillage/images/proibido-preto.svg">
          <a:extLst>
            <a:ext uri="{FF2B5EF4-FFF2-40B4-BE49-F238E27FC236}">
              <a16:creationId xmlns:a16="http://schemas.microsoft.com/office/drawing/2014/main" id="{495A34CB-640C-45B8-8323-7CD2762F8BF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89660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477</xdr:row>
      <xdr:rowOff>133350</xdr:rowOff>
    </xdr:from>
    <xdr:to>
      <xdr:col>8</xdr:col>
      <xdr:colOff>190500</xdr:colOff>
      <xdr:row>479</xdr:row>
      <xdr:rowOff>85725</xdr:rowOff>
    </xdr:to>
    <xdr:sp macro="" textlink="">
      <xdr:nvSpPr>
        <xdr:cNvPr id="466" name="AutoShape 15" descr="https://1portodos.com.br/ResidencialVillage/images/proibido-preto.svg">
          <a:extLst>
            <a:ext uri="{FF2B5EF4-FFF2-40B4-BE49-F238E27FC236}">
              <a16:creationId xmlns:a16="http://schemas.microsoft.com/office/drawing/2014/main" id="{C62F15A0-618C-41FE-A5BE-1AC645D05BC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4859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545</xdr:row>
      <xdr:rowOff>142875</xdr:rowOff>
    </xdr:from>
    <xdr:to>
      <xdr:col>8</xdr:col>
      <xdr:colOff>190500</xdr:colOff>
      <xdr:row>547</xdr:row>
      <xdr:rowOff>95250</xdr:rowOff>
    </xdr:to>
    <xdr:sp macro="" textlink="">
      <xdr:nvSpPr>
        <xdr:cNvPr id="467" name="AutoShape 16" descr="https://1portodos.com.br/ResidencialVillage/images/proibido-preto.svg">
          <a:extLst>
            <a:ext uri="{FF2B5EF4-FFF2-40B4-BE49-F238E27FC236}">
              <a16:creationId xmlns:a16="http://schemas.microsoft.com/office/drawing/2014/main" id="{F8D94478-947B-473C-99CA-92D99594935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12710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152400</xdr:rowOff>
    </xdr:from>
    <xdr:to>
      <xdr:col>8</xdr:col>
      <xdr:colOff>190500</xdr:colOff>
      <xdr:row>31</xdr:row>
      <xdr:rowOff>114300</xdr:rowOff>
    </xdr:to>
    <xdr:sp macro="" textlink="">
      <xdr:nvSpPr>
        <xdr:cNvPr id="468" name="AutoShape 17" descr="https://1portodos.com.br/ResidencialVillage/images/proibido-preto.svg">
          <a:extLst>
            <a:ext uri="{FF2B5EF4-FFF2-40B4-BE49-F238E27FC236}">
              <a16:creationId xmlns:a16="http://schemas.microsoft.com/office/drawing/2014/main" id="{36DA4949-758C-4D75-9A5A-125490878B9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4364175"/>
          <a:ext cx="1905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547</xdr:row>
      <xdr:rowOff>161925</xdr:rowOff>
    </xdr:from>
    <xdr:to>
      <xdr:col>8</xdr:col>
      <xdr:colOff>190500</xdr:colOff>
      <xdr:row>549</xdr:row>
      <xdr:rowOff>114300</xdr:rowOff>
    </xdr:to>
    <xdr:sp macro="" textlink="">
      <xdr:nvSpPr>
        <xdr:cNvPr id="469" name="AutoShape 18" descr="https://1portodos.com.br/ResidencialVillage/images/proibido-preto.svg">
          <a:extLst>
            <a:ext uri="{FF2B5EF4-FFF2-40B4-BE49-F238E27FC236}">
              <a16:creationId xmlns:a16="http://schemas.microsoft.com/office/drawing/2014/main" id="{1EC885DE-F353-49F4-B603-A5E070ADD24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16711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480</xdr:row>
      <xdr:rowOff>171450</xdr:rowOff>
    </xdr:from>
    <xdr:to>
      <xdr:col>8</xdr:col>
      <xdr:colOff>190500</xdr:colOff>
      <xdr:row>482</xdr:row>
      <xdr:rowOff>123825</xdr:rowOff>
    </xdr:to>
    <xdr:sp macro="" textlink="">
      <xdr:nvSpPr>
        <xdr:cNvPr id="470" name="AutoShape 19" descr="https://1portodos.com.br/ResidencialVillage/images/proibido-preto.svg">
          <a:extLst>
            <a:ext uri="{FF2B5EF4-FFF2-40B4-BE49-F238E27FC236}">
              <a16:creationId xmlns:a16="http://schemas.microsoft.com/office/drawing/2014/main" id="{D7FFFBB3-4F85-48AC-91DE-649473A5E86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54690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509</xdr:row>
      <xdr:rowOff>180975</xdr:rowOff>
    </xdr:from>
    <xdr:to>
      <xdr:col>8</xdr:col>
      <xdr:colOff>190500</xdr:colOff>
      <xdr:row>511</xdr:row>
      <xdr:rowOff>133350</xdr:rowOff>
    </xdr:to>
    <xdr:sp macro="" textlink="">
      <xdr:nvSpPr>
        <xdr:cNvPr id="471" name="AutoShape 20" descr="https://1portodos.com.br/ResidencialVillage/images/proibido-preto.svg">
          <a:extLst>
            <a:ext uri="{FF2B5EF4-FFF2-40B4-BE49-F238E27FC236}">
              <a16:creationId xmlns:a16="http://schemas.microsoft.com/office/drawing/2014/main" id="{12085B25-EE2C-4EE6-9D2C-AF81E99FCB5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20889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516</xdr:row>
      <xdr:rowOff>190500</xdr:rowOff>
    </xdr:from>
    <xdr:to>
      <xdr:col>8</xdr:col>
      <xdr:colOff>190500</xdr:colOff>
      <xdr:row>519</xdr:row>
      <xdr:rowOff>95250</xdr:rowOff>
    </xdr:to>
    <xdr:sp macro="" textlink="">
      <xdr:nvSpPr>
        <xdr:cNvPr id="472" name="AutoShape 21" descr="https://1portodos.com.br/ResidencialVillage/images/proibido-preto.svg">
          <a:extLst>
            <a:ext uri="{FF2B5EF4-FFF2-40B4-BE49-F238E27FC236}">
              <a16:creationId xmlns:a16="http://schemas.microsoft.com/office/drawing/2014/main" id="{CC7EA5CB-E6EF-43DE-A2B8-AD0A58B51DF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3622475"/>
          <a:ext cx="1905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503</xdr:row>
      <xdr:rowOff>200025</xdr:rowOff>
    </xdr:from>
    <xdr:to>
      <xdr:col>8</xdr:col>
      <xdr:colOff>190500</xdr:colOff>
      <xdr:row>506</xdr:row>
      <xdr:rowOff>85725</xdr:rowOff>
    </xdr:to>
    <xdr:sp macro="" textlink="">
      <xdr:nvSpPr>
        <xdr:cNvPr id="473" name="AutoShape 22" descr="https://1portodos.com.br/ResidencialVillage/images/proibido-preto.svg">
          <a:extLst>
            <a:ext uri="{FF2B5EF4-FFF2-40B4-BE49-F238E27FC236}">
              <a16:creationId xmlns:a16="http://schemas.microsoft.com/office/drawing/2014/main" id="{4FEE47F2-B704-4E2C-8199-19518899499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0764975"/>
          <a:ext cx="1905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514</xdr:row>
      <xdr:rowOff>209550</xdr:rowOff>
    </xdr:from>
    <xdr:to>
      <xdr:col>8</xdr:col>
      <xdr:colOff>190500</xdr:colOff>
      <xdr:row>517</xdr:row>
      <xdr:rowOff>76200</xdr:rowOff>
    </xdr:to>
    <xdr:sp macro="" textlink="">
      <xdr:nvSpPr>
        <xdr:cNvPr id="474" name="AutoShape 23" descr="https://1portodos.com.br/ResidencialVillage/images/proibido-preto.svg">
          <a:extLst>
            <a:ext uri="{FF2B5EF4-FFF2-40B4-BE49-F238E27FC236}">
              <a16:creationId xmlns:a16="http://schemas.microsoft.com/office/drawing/2014/main" id="{9C2D993F-4C4C-4F93-8786-3E365A465D5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3050975"/>
          <a:ext cx="190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519</xdr:row>
      <xdr:rowOff>219075</xdr:rowOff>
    </xdr:from>
    <xdr:to>
      <xdr:col>8</xdr:col>
      <xdr:colOff>190500</xdr:colOff>
      <xdr:row>522</xdr:row>
      <xdr:rowOff>66675</xdr:rowOff>
    </xdr:to>
    <xdr:sp macro="" textlink="">
      <xdr:nvSpPr>
        <xdr:cNvPr id="475" name="AutoShape 24" descr="https://1portodos.com.br/ResidencialVillage/images/proibido-preto.svg">
          <a:extLst>
            <a:ext uri="{FF2B5EF4-FFF2-40B4-BE49-F238E27FC236}">
              <a16:creationId xmlns:a16="http://schemas.microsoft.com/office/drawing/2014/main" id="{871CA1AD-E757-4083-BBEA-10A0D43C683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4193975"/>
          <a:ext cx="1905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</xdr:row>
      <xdr:rowOff>228600</xdr:rowOff>
    </xdr:from>
    <xdr:to>
      <xdr:col>8</xdr:col>
      <xdr:colOff>190500</xdr:colOff>
      <xdr:row>37</xdr:row>
      <xdr:rowOff>57150</xdr:rowOff>
    </xdr:to>
    <xdr:sp macro="" textlink="">
      <xdr:nvSpPr>
        <xdr:cNvPr id="476" name="AutoShape 25" descr="https://1portodos.com.br/ResidencialVillage/images/proibido-preto.svg">
          <a:extLst>
            <a:ext uri="{FF2B5EF4-FFF2-40B4-BE49-F238E27FC236}">
              <a16:creationId xmlns:a16="http://schemas.microsoft.com/office/drawing/2014/main" id="{E0D17DD6-0D7C-4B57-A595-26914133E49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1907975"/>
          <a:ext cx="190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520</xdr:row>
      <xdr:rowOff>238125</xdr:rowOff>
    </xdr:from>
    <xdr:to>
      <xdr:col>8</xdr:col>
      <xdr:colOff>190500</xdr:colOff>
      <xdr:row>523</xdr:row>
      <xdr:rowOff>47625</xdr:rowOff>
    </xdr:to>
    <xdr:sp macro="" textlink="">
      <xdr:nvSpPr>
        <xdr:cNvPr id="477" name="AutoShape 26" descr="https://1portodos.com.br/ResidencialVillage/images/proibido-preto.svg">
          <a:extLst>
            <a:ext uri="{FF2B5EF4-FFF2-40B4-BE49-F238E27FC236}">
              <a16:creationId xmlns:a16="http://schemas.microsoft.com/office/drawing/2014/main" id="{BA75AE10-A58D-4BFE-B51D-943ABCF307F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4384475"/>
          <a:ext cx="190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529</xdr:row>
      <xdr:rowOff>247650</xdr:rowOff>
    </xdr:from>
    <xdr:to>
      <xdr:col>8</xdr:col>
      <xdr:colOff>190500</xdr:colOff>
      <xdr:row>532</xdr:row>
      <xdr:rowOff>47625</xdr:rowOff>
    </xdr:to>
    <xdr:sp macro="" textlink="">
      <xdr:nvSpPr>
        <xdr:cNvPr id="478" name="AutoShape 27" descr="https://1portodos.com.br/ResidencialVillage/images/proibido-preto.svg">
          <a:extLst>
            <a:ext uri="{FF2B5EF4-FFF2-40B4-BE49-F238E27FC236}">
              <a16:creationId xmlns:a16="http://schemas.microsoft.com/office/drawing/2014/main" id="{E3D18B24-1B56-49A4-9A9E-4FEEB1451CD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6670475"/>
          <a:ext cx="19050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496</xdr:row>
      <xdr:rowOff>257175</xdr:rowOff>
    </xdr:from>
    <xdr:to>
      <xdr:col>8</xdr:col>
      <xdr:colOff>190500</xdr:colOff>
      <xdr:row>498</xdr:row>
      <xdr:rowOff>85725</xdr:rowOff>
    </xdr:to>
    <xdr:sp macro="" textlink="">
      <xdr:nvSpPr>
        <xdr:cNvPr id="479" name="AutoShape 28" descr="https://1portodos.com.br/ResidencialVillage/images/proibido-preto.svg">
          <a:extLst>
            <a:ext uri="{FF2B5EF4-FFF2-40B4-BE49-F238E27FC236}">
              <a16:creationId xmlns:a16="http://schemas.microsoft.com/office/drawing/2014/main" id="{3EE903AB-F817-4B60-A00E-ADEBAB4110F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9107625"/>
          <a:ext cx="1905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500</xdr:row>
      <xdr:rowOff>266700</xdr:rowOff>
    </xdr:from>
    <xdr:to>
      <xdr:col>8</xdr:col>
      <xdr:colOff>190500</xdr:colOff>
      <xdr:row>503</xdr:row>
      <xdr:rowOff>19050</xdr:rowOff>
    </xdr:to>
    <xdr:sp macro="" textlink="">
      <xdr:nvSpPr>
        <xdr:cNvPr id="480" name="AutoShape 29" descr="https://1portodos.com.br/ResidencialVillage/images/proibido-preto.svg">
          <a:extLst>
            <a:ext uri="{FF2B5EF4-FFF2-40B4-BE49-F238E27FC236}">
              <a16:creationId xmlns:a16="http://schemas.microsoft.com/office/drawing/2014/main" id="{31016C9F-F43D-4710-85A4-1B16845D63E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0002975"/>
          <a:ext cx="1905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511</xdr:row>
      <xdr:rowOff>276225</xdr:rowOff>
    </xdr:from>
    <xdr:to>
      <xdr:col>8</xdr:col>
      <xdr:colOff>190500</xdr:colOff>
      <xdr:row>514</xdr:row>
      <xdr:rowOff>9525</xdr:rowOff>
    </xdr:to>
    <xdr:sp macro="" textlink="">
      <xdr:nvSpPr>
        <xdr:cNvPr id="481" name="AutoShape 30" descr="https://1portodos.com.br/ResidencialVillage/images/proibido-preto.svg">
          <a:extLst>
            <a:ext uri="{FF2B5EF4-FFF2-40B4-BE49-F238E27FC236}">
              <a16:creationId xmlns:a16="http://schemas.microsoft.com/office/drawing/2014/main" id="{1735BAA6-B41D-4269-B030-CA140B662AD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2479475"/>
          <a:ext cx="1905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486</xdr:row>
      <xdr:rowOff>285750</xdr:rowOff>
    </xdr:from>
    <xdr:to>
      <xdr:col>8</xdr:col>
      <xdr:colOff>190500</xdr:colOff>
      <xdr:row>489</xdr:row>
      <xdr:rowOff>0</xdr:rowOff>
    </xdr:to>
    <xdr:sp macro="" textlink="">
      <xdr:nvSpPr>
        <xdr:cNvPr id="482" name="AutoShape 31" descr="https://1portodos.com.br/ResidencialVillage/images/proibido-preto.svg">
          <a:extLst>
            <a:ext uri="{FF2B5EF4-FFF2-40B4-BE49-F238E27FC236}">
              <a16:creationId xmlns:a16="http://schemas.microsoft.com/office/drawing/2014/main" id="{2EED76D7-20A4-4082-BE5E-D13CACC5C20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6821625"/>
          <a:ext cx="190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491</xdr:row>
      <xdr:rowOff>295275</xdr:rowOff>
    </xdr:from>
    <xdr:to>
      <xdr:col>8</xdr:col>
      <xdr:colOff>190500</xdr:colOff>
      <xdr:row>493</xdr:row>
      <xdr:rowOff>180975</xdr:rowOff>
    </xdr:to>
    <xdr:sp macro="" textlink="">
      <xdr:nvSpPr>
        <xdr:cNvPr id="483" name="AutoShape 32" descr="https://1portodos.com.br/ResidencialVillage/images/proibido-preto.svg">
          <a:extLst>
            <a:ext uri="{FF2B5EF4-FFF2-40B4-BE49-F238E27FC236}">
              <a16:creationId xmlns:a16="http://schemas.microsoft.com/office/drawing/2014/main" id="{EB6C9283-19F5-4988-9842-88442E3A5CB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7774125"/>
          <a:ext cx="1905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531</xdr:row>
      <xdr:rowOff>304800</xdr:rowOff>
    </xdr:from>
    <xdr:to>
      <xdr:col>8</xdr:col>
      <xdr:colOff>190500</xdr:colOff>
      <xdr:row>533</xdr:row>
      <xdr:rowOff>171450</xdr:rowOff>
    </xdr:to>
    <xdr:sp macro="" textlink="">
      <xdr:nvSpPr>
        <xdr:cNvPr id="484" name="AutoShape 33" descr="https://1portodos.com.br/ResidencialVillage/images/proibido-preto.svg">
          <a:extLst>
            <a:ext uri="{FF2B5EF4-FFF2-40B4-BE49-F238E27FC236}">
              <a16:creationId xmlns:a16="http://schemas.microsoft.com/office/drawing/2014/main" id="{B9245D6B-C124-4EDB-AFD7-9F4D0D60854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7127675"/>
          <a:ext cx="1905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546</xdr:row>
      <xdr:rowOff>314325</xdr:rowOff>
    </xdr:from>
    <xdr:to>
      <xdr:col>8</xdr:col>
      <xdr:colOff>190500</xdr:colOff>
      <xdr:row>548</xdr:row>
      <xdr:rowOff>161925</xdr:rowOff>
    </xdr:to>
    <xdr:sp macro="" textlink="">
      <xdr:nvSpPr>
        <xdr:cNvPr id="485" name="AutoShape 34" descr="https://1portodos.com.br/ResidencialVillage/images/proibido-preto.svg">
          <a:extLst>
            <a:ext uri="{FF2B5EF4-FFF2-40B4-BE49-F238E27FC236}">
              <a16:creationId xmlns:a16="http://schemas.microsoft.com/office/drawing/2014/main" id="{5A03D78B-0B4C-4AE0-AB8B-17C0C4F3069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1509175"/>
          <a:ext cx="1905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512</xdr:row>
      <xdr:rowOff>323850</xdr:rowOff>
    </xdr:from>
    <xdr:to>
      <xdr:col>8</xdr:col>
      <xdr:colOff>190500</xdr:colOff>
      <xdr:row>514</xdr:row>
      <xdr:rowOff>152400</xdr:rowOff>
    </xdr:to>
    <xdr:sp macro="" textlink="">
      <xdr:nvSpPr>
        <xdr:cNvPr id="486" name="AutoShape 35" descr="https://1portodos.com.br/ResidencialVillage/images/proibido-preto.svg">
          <a:extLst>
            <a:ext uri="{FF2B5EF4-FFF2-40B4-BE49-F238E27FC236}">
              <a16:creationId xmlns:a16="http://schemas.microsoft.com/office/drawing/2014/main" id="{81566528-7E7E-46EE-9255-EC42994DAE9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2669975"/>
          <a:ext cx="190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508</xdr:row>
      <xdr:rowOff>333375</xdr:rowOff>
    </xdr:from>
    <xdr:to>
      <xdr:col>8</xdr:col>
      <xdr:colOff>190500</xdr:colOff>
      <xdr:row>510</xdr:row>
      <xdr:rowOff>142875</xdr:rowOff>
    </xdr:to>
    <xdr:sp macro="" textlink="">
      <xdr:nvSpPr>
        <xdr:cNvPr id="487" name="AutoShape 36" descr="https://1portodos.com.br/ResidencialVillage/images/proibido-preto.svg">
          <a:extLst>
            <a:ext uri="{FF2B5EF4-FFF2-40B4-BE49-F238E27FC236}">
              <a16:creationId xmlns:a16="http://schemas.microsoft.com/office/drawing/2014/main" id="{92B5284D-CF83-471B-8942-483B16EA096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1717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</xdr:row>
      <xdr:rowOff>342900</xdr:rowOff>
    </xdr:from>
    <xdr:to>
      <xdr:col>8</xdr:col>
      <xdr:colOff>190500</xdr:colOff>
      <xdr:row>51</xdr:row>
      <xdr:rowOff>142875</xdr:rowOff>
    </xdr:to>
    <xdr:sp macro="" textlink="">
      <xdr:nvSpPr>
        <xdr:cNvPr id="488" name="AutoShape 37" descr="https://1portodos.com.br/ResidencialVillage/images/proibido-preto.svg">
          <a:extLst>
            <a:ext uri="{FF2B5EF4-FFF2-40B4-BE49-F238E27FC236}">
              <a16:creationId xmlns:a16="http://schemas.microsoft.com/office/drawing/2014/main" id="{2DD5ABE7-1479-49E0-98C2-82E21D856CB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4726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73</xdr:row>
      <xdr:rowOff>352425</xdr:rowOff>
    </xdr:from>
    <xdr:to>
      <xdr:col>8</xdr:col>
      <xdr:colOff>190500</xdr:colOff>
      <xdr:row>75</xdr:row>
      <xdr:rowOff>142875</xdr:rowOff>
    </xdr:to>
    <xdr:sp macro="" textlink="">
      <xdr:nvSpPr>
        <xdr:cNvPr id="489" name="AutoShape 38" descr="https://1portodos.com.br/ResidencialVillage/images/proibido-preto.svg">
          <a:extLst>
            <a:ext uri="{FF2B5EF4-FFF2-40B4-BE49-F238E27FC236}">
              <a16:creationId xmlns:a16="http://schemas.microsoft.com/office/drawing/2014/main" id="{E884CEBE-7D3F-4C7C-940A-A60AAD84101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7318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</xdr:row>
      <xdr:rowOff>361950</xdr:rowOff>
    </xdr:from>
    <xdr:to>
      <xdr:col>8</xdr:col>
      <xdr:colOff>190500</xdr:colOff>
      <xdr:row>54</xdr:row>
      <xdr:rowOff>142875</xdr:rowOff>
    </xdr:to>
    <xdr:sp macro="" textlink="">
      <xdr:nvSpPr>
        <xdr:cNvPr id="490" name="AutoShape 39" descr="https://1portodos.com.br/ResidencialVillage/images/proibido-preto.svg">
          <a:extLst>
            <a:ext uri="{FF2B5EF4-FFF2-40B4-BE49-F238E27FC236}">
              <a16:creationId xmlns:a16="http://schemas.microsoft.com/office/drawing/2014/main" id="{875AA8FF-9D75-44D9-A0B7-022AC1D190B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9223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476</xdr:row>
      <xdr:rowOff>371475</xdr:rowOff>
    </xdr:from>
    <xdr:to>
      <xdr:col>8</xdr:col>
      <xdr:colOff>190500</xdr:colOff>
      <xdr:row>478</xdr:row>
      <xdr:rowOff>142875</xdr:rowOff>
    </xdr:to>
    <xdr:sp macro="" textlink="">
      <xdr:nvSpPr>
        <xdr:cNvPr id="491" name="AutoShape 40" descr="https://1portodos.com.br/ResidencialVillage/images/proibido-preto.svg">
          <a:extLst>
            <a:ext uri="{FF2B5EF4-FFF2-40B4-BE49-F238E27FC236}">
              <a16:creationId xmlns:a16="http://schemas.microsoft.com/office/drawing/2014/main" id="{986B1F05-8660-410F-BF89-CEE5CACF728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40212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100</xdr:row>
      <xdr:rowOff>381000</xdr:rowOff>
    </xdr:from>
    <xdr:to>
      <xdr:col>8</xdr:col>
      <xdr:colOff>190500</xdr:colOff>
      <xdr:row>102</xdr:row>
      <xdr:rowOff>142875</xdr:rowOff>
    </xdr:to>
    <xdr:sp macro="" textlink="">
      <xdr:nvSpPr>
        <xdr:cNvPr id="492" name="AutoShape 41" descr="https://1portodos.com.br/ResidencialVillage/images/proibido-preto.svg">
          <a:extLst>
            <a:ext uri="{FF2B5EF4-FFF2-40B4-BE49-F238E27FC236}">
              <a16:creationId xmlns:a16="http://schemas.microsoft.com/office/drawing/2014/main" id="{FE0DC00C-F95B-452F-9000-AD0E68C3572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8270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492</xdr:row>
      <xdr:rowOff>390525</xdr:rowOff>
    </xdr:from>
    <xdr:to>
      <xdr:col>8</xdr:col>
      <xdr:colOff>190500</xdr:colOff>
      <xdr:row>494</xdr:row>
      <xdr:rowOff>142875</xdr:rowOff>
    </xdr:to>
    <xdr:sp macro="" textlink="">
      <xdr:nvSpPr>
        <xdr:cNvPr id="493" name="AutoShape 42" descr="https://1portodos.com.br/ResidencialVillage/images/proibido-preto.svg">
          <a:extLst>
            <a:ext uri="{FF2B5EF4-FFF2-40B4-BE49-F238E27FC236}">
              <a16:creationId xmlns:a16="http://schemas.microsoft.com/office/drawing/2014/main" id="{37FD5BDF-B97B-45BE-99C7-5FAEDDC5173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8155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475</xdr:row>
      <xdr:rowOff>400050</xdr:rowOff>
    </xdr:from>
    <xdr:to>
      <xdr:col>8</xdr:col>
      <xdr:colOff>190500</xdr:colOff>
      <xdr:row>477</xdr:row>
      <xdr:rowOff>142875</xdr:rowOff>
    </xdr:to>
    <xdr:sp macro="" textlink="">
      <xdr:nvSpPr>
        <xdr:cNvPr id="494" name="AutoShape 43" descr="https://1portodos.com.br/ResidencialVillage/images/proibido-preto.svg">
          <a:extLst>
            <a:ext uri="{FF2B5EF4-FFF2-40B4-BE49-F238E27FC236}">
              <a16:creationId xmlns:a16="http://schemas.microsoft.com/office/drawing/2014/main" id="{A7193EDE-1115-4D9D-9A8F-D90C5F92D0E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38307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521</xdr:row>
      <xdr:rowOff>409575</xdr:rowOff>
    </xdr:from>
    <xdr:to>
      <xdr:col>8</xdr:col>
      <xdr:colOff>190500</xdr:colOff>
      <xdr:row>523</xdr:row>
      <xdr:rowOff>142875</xdr:rowOff>
    </xdr:to>
    <xdr:sp macro="" textlink="">
      <xdr:nvSpPr>
        <xdr:cNvPr id="495" name="AutoShape 44" descr="https://1portodos.com.br/ResidencialVillage/images/proibido-preto.svg">
          <a:extLst>
            <a:ext uri="{FF2B5EF4-FFF2-40B4-BE49-F238E27FC236}">
              <a16:creationId xmlns:a16="http://schemas.microsoft.com/office/drawing/2014/main" id="{E608DAC8-FDF9-4041-A7CC-A13D8905C5D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4955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544</xdr:row>
      <xdr:rowOff>419100</xdr:rowOff>
    </xdr:from>
    <xdr:to>
      <xdr:col>8</xdr:col>
      <xdr:colOff>190500</xdr:colOff>
      <xdr:row>546</xdr:row>
      <xdr:rowOff>142875</xdr:rowOff>
    </xdr:to>
    <xdr:sp macro="" textlink="">
      <xdr:nvSpPr>
        <xdr:cNvPr id="496" name="AutoShape 45" descr="https://1portodos.com.br/ResidencialVillage/images/proibido-preto.svg">
          <a:extLst>
            <a:ext uri="{FF2B5EF4-FFF2-40B4-BE49-F238E27FC236}">
              <a16:creationId xmlns:a16="http://schemas.microsoft.com/office/drawing/2014/main" id="{9DEC648F-E4CC-489F-B75A-3338F9EAFD3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1128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499</xdr:row>
      <xdr:rowOff>428625</xdr:rowOff>
    </xdr:from>
    <xdr:to>
      <xdr:col>8</xdr:col>
      <xdr:colOff>190500</xdr:colOff>
      <xdr:row>501</xdr:row>
      <xdr:rowOff>142875</xdr:rowOff>
    </xdr:to>
    <xdr:sp macro="" textlink="">
      <xdr:nvSpPr>
        <xdr:cNvPr id="497" name="AutoShape 46" descr="https://1portodos.com.br/ResidencialVillage/images/proibido-preto.svg">
          <a:extLst>
            <a:ext uri="{FF2B5EF4-FFF2-40B4-BE49-F238E27FC236}">
              <a16:creationId xmlns:a16="http://schemas.microsoft.com/office/drawing/2014/main" id="{FF0B5E2C-B665-4854-AB9F-49E5A0EC312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9812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484</xdr:row>
      <xdr:rowOff>438150</xdr:rowOff>
    </xdr:from>
    <xdr:to>
      <xdr:col>8</xdr:col>
      <xdr:colOff>190500</xdr:colOff>
      <xdr:row>486</xdr:row>
      <xdr:rowOff>142875</xdr:rowOff>
    </xdr:to>
    <xdr:sp macro="" textlink="">
      <xdr:nvSpPr>
        <xdr:cNvPr id="498" name="AutoShape 47" descr="https://1portodos.com.br/ResidencialVillage/images/proibido-preto.svg">
          <a:extLst>
            <a:ext uri="{FF2B5EF4-FFF2-40B4-BE49-F238E27FC236}">
              <a16:creationId xmlns:a16="http://schemas.microsoft.com/office/drawing/2014/main" id="{9CD4EBAE-D33E-4B06-AECE-E6C07B81E12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6250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82</xdr:row>
      <xdr:rowOff>447675</xdr:rowOff>
    </xdr:from>
    <xdr:to>
      <xdr:col>8</xdr:col>
      <xdr:colOff>190500</xdr:colOff>
      <xdr:row>84</xdr:row>
      <xdr:rowOff>142875</xdr:rowOff>
    </xdr:to>
    <xdr:sp macro="" textlink="">
      <xdr:nvSpPr>
        <xdr:cNvPr id="499" name="AutoShape 48" descr="https://1portodos.com.br/ResidencialVillage/images/proibido-preto.svg">
          <a:extLst>
            <a:ext uri="{FF2B5EF4-FFF2-40B4-BE49-F238E27FC236}">
              <a16:creationId xmlns:a16="http://schemas.microsoft.com/office/drawing/2014/main" id="{BE875921-E2F5-4062-82E2-DA28031943B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0193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478</xdr:row>
      <xdr:rowOff>457200</xdr:rowOff>
    </xdr:from>
    <xdr:to>
      <xdr:col>8</xdr:col>
      <xdr:colOff>190500</xdr:colOff>
      <xdr:row>480</xdr:row>
      <xdr:rowOff>142875</xdr:rowOff>
    </xdr:to>
    <xdr:sp macro="" textlink="">
      <xdr:nvSpPr>
        <xdr:cNvPr id="500" name="AutoShape 49" descr="https://1portodos.com.br/ResidencialVillage/images/proibido-preto.svg">
          <a:extLst>
            <a:ext uri="{FF2B5EF4-FFF2-40B4-BE49-F238E27FC236}">
              <a16:creationId xmlns:a16="http://schemas.microsoft.com/office/drawing/2014/main" id="{596A360B-27BB-4023-8CDC-75B31B55F99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5107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498</xdr:row>
      <xdr:rowOff>466725</xdr:rowOff>
    </xdr:from>
    <xdr:to>
      <xdr:col>8</xdr:col>
      <xdr:colOff>190500</xdr:colOff>
      <xdr:row>500</xdr:row>
      <xdr:rowOff>142875</xdr:rowOff>
    </xdr:to>
    <xdr:sp macro="" textlink="">
      <xdr:nvSpPr>
        <xdr:cNvPr id="501" name="AutoShape 50" descr="https://1portodos.com.br/ResidencialVillage/images/proibido-preto.svg">
          <a:extLst>
            <a:ext uri="{FF2B5EF4-FFF2-40B4-BE49-F238E27FC236}">
              <a16:creationId xmlns:a16="http://schemas.microsoft.com/office/drawing/2014/main" id="{715E91D0-0375-49B8-88BC-15726865643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9621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476250</xdr:rowOff>
    </xdr:from>
    <xdr:to>
      <xdr:col>8</xdr:col>
      <xdr:colOff>190500</xdr:colOff>
      <xdr:row>11</xdr:row>
      <xdr:rowOff>142875</xdr:rowOff>
    </xdr:to>
    <xdr:sp macro="" textlink="">
      <xdr:nvSpPr>
        <xdr:cNvPr id="502" name="AutoShape 51" descr="https://1portodos.com.br/ResidencialVillage/images/proibido-preto.svg">
          <a:extLst>
            <a:ext uri="{FF2B5EF4-FFF2-40B4-BE49-F238E27FC236}">
              <a16:creationId xmlns:a16="http://schemas.microsoft.com/office/drawing/2014/main" id="{BA51BB44-1738-4D80-B7F3-54CED69D40B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4765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58</xdr:row>
      <xdr:rowOff>485775</xdr:rowOff>
    </xdr:from>
    <xdr:to>
      <xdr:col>8</xdr:col>
      <xdr:colOff>190500</xdr:colOff>
      <xdr:row>60</xdr:row>
      <xdr:rowOff>142875</xdr:rowOff>
    </xdr:to>
    <xdr:sp macro="" textlink="">
      <xdr:nvSpPr>
        <xdr:cNvPr id="503" name="AutoShape 52" descr="https://1portodos.com.br/ResidencialVillage/images/proibido-preto.svg">
          <a:extLst>
            <a:ext uri="{FF2B5EF4-FFF2-40B4-BE49-F238E27FC236}">
              <a16:creationId xmlns:a16="http://schemas.microsoft.com/office/drawing/2014/main" id="{DB269DD9-B64E-404D-AB6D-8CB86386A2F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4574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548</xdr:row>
      <xdr:rowOff>495300</xdr:rowOff>
    </xdr:from>
    <xdr:to>
      <xdr:col>8</xdr:col>
      <xdr:colOff>190500</xdr:colOff>
      <xdr:row>550</xdr:row>
      <xdr:rowOff>142875</xdr:rowOff>
    </xdr:to>
    <xdr:sp macro="" textlink="">
      <xdr:nvSpPr>
        <xdr:cNvPr id="504" name="AutoShape 53" descr="https://1portodos.com.br/ResidencialVillage/images/proibido-preto.svg">
          <a:extLst>
            <a:ext uri="{FF2B5EF4-FFF2-40B4-BE49-F238E27FC236}">
              <a16:creationId xmlns:a16="http://schemas.microsoft.com/office/drawing/2014/main" id="{B723BA74-FE22-47B8-8F50-CC359F01083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1890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504825</xdr:rowOff>
    </xdr:from>
    <xdr:to>
      <xdr:col>8</xdr:col>
      <xdr:colOff>190500</xdr:colOff>
      <xdr:row>87</xdr:row>
      <xdr:rowOff>142875</xdr:rowOff>
    </xdr:to>
    <xdr:sp macro="" textlink="">
      <xdr:nvSpPr>
        <xdr:cNvPr id="505" name="AutoShape 54" descr="https://1portodos.com.br/ResidencialVillage/images/proibido-preto.svg">
          <a:extLst>
            <a:ext uri="{FF2B5EF4-FFF2-40B4-BE49-F238E27FC236}">
              <a16:creationId xmlns:a16="http://schemas.microsoft.com/office/drawing/2014/main" id="{FB3B0B07-7A5C-4FA3-BBBD-8348678CE62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3241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506</xdr:row>
      <xdr:rowOff>514350</xdr:rowOff>
    </xdr:from>
    <xdr:to>
      <xdr:col>8</xdr:col>
      <xdr:colOff>190500</xdr:colOff>
      <xdr:row>508</xdr:row>
      <xdr:rowOff>142875</xdr:rowOff>
    </xdr:to>
    <xdr:sp macro="" textlink="">
      <xdr:nvSpPr>
        <xdr:cNvPr id="506" name="AutoShape 55" descr="https://1portodos.com.br/ResidencialVillage/images/proibido-preto.svg">
          <a:extLst>
            <a:ext uri="{FF2B5EF4-FFF2-40B4-BE49-F238E27FC236}">
              <a16:creationId xmlns:a16="http://schemas.microsoft.com/office/drawing/2014/main" id="{D8064A50-9867-4AFE-A4DA-7BE062641F1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1336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91</xdr:row>
      <xdr:rowOff>523875</xdr:rowOff>
    </xdr:from>
    <xdr:to>
      <xdr:col>8</xdr:col>
      <xdr:colOff>190500</xdr:colOff>
      <xdr:row>93</xdr:row>
      <xdr:rowOff>142875</xdr:rowOff>
    </xdr:to>
    <xdr:sp macro="" textlink="">
      <xdr:nvSpPr>
        <xdr:cNvPr id="507" name="AutoShape 56" descr="https://1portodos.com.br/ResidencialVillage/images/proibido-preto.svg">
          <a:extLst>
            <a:ext uri="{FF2B5EF4-FFF2-40B4-BE49-F238E27FC236}">
              <a16:creationId xmlns:a16="http://schemas.microsoft.com/office/drawing/2014/main" id="{C0813702-820F-41F2-9E52-6139808B909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8536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539</xdr:row>
      <xdr:rowOff>38100</xdr:rowOff>
    </xdr:from>
    <xdr:to>
      <xdr:col>8</xdr:col>
      <xdr:colOff>190500</xdr:colOff>
      <xdr:row>540</xdr:row>
      <xdr:rowOff>180975</xdr:rowOff>
    </xdr:to>
    <xdr:sp macro="" textlink="">
      <xdr:nvSpPr>
        <xdr:cNvPr id="508" name="AutoShape 57" descr="https://1portodos.com.br/ResidencialVillage/images/proibido-preto.svg">
          <a:extLst>
            <a:ext uri="{FF2B5EF4-FFF2-40B4-BE49-F238E27FC236}">
              <a16:creationId xmlns:a16="http://schemas.microsoft.com/office/drawing/2014/main" id="{080D25E1-F9FF-4396-AD31-0520AA1D38E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00232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539</xdr:row>
      <xdr:rowOff>542925</xdr:rowOff>
    </xdr:from>
    <xdr:to>
      <xdr:col>8</xdr:col>
      <xdr:colOff>190500</xdr:colOff>
      <xdr:row>541</xdr:row>
      <xdr:rowOff>142875</xdr:rowOff>
    </xdr:to>
    <xdr:sp macro="" textlink="">
      <xdr:nvSpPr>
        <xdr:cNvPr id="509" name="AutoShape 58" descr="https://1portodos.com.br/ResidencialVillage/images/proibido-preto.svg">
          <a:extLst>
            <a:ext uri="{FF2B5EF4-FFF2-40B4-BE49-F238E27FC236}">
              <a16:creationId xmlns:a16="http://schemas.microsoft.com/office/drawing/2014/main" id="{47E82AD5-029B-4DC7-8596-05FAD5FD8E1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0175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479</xdr:row>
      <xdr:rowOff>552450</xdr:rowOff>
    </xdr:from>
    <xdr:to>
      <xdr:col>8</xdr:col>
      <xdr:colOff>190500</xdr:colOff>
      <xdr:row>481</xdr:row>
      <xdr:rowOff>142875</xdr:rowOff>
    </xdr:to>
    <xdr:sp macro="" textlink="">
      <xdr:nvSpPr>
        <xdr:cNvPr id="510" name="AutoShape 59" descr="https://1portodos.com.br/ResidencialVillage/images/proibido-preto.svg">
          <a:extLst>
            <a:ext uri="{FF2B5EF4-FFF2-40B4-BE49-F238E27FC236}">
              <a16:creationId xmlns:a16="http://schemas.microsoft.com/office/drawing/2014/main" id="{7CB99178-A2BE-45D9-8E85-EA5F6518E64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5297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542</xdr:row>
      <xdr:rowOff>561975</xdr:rowOff>
    </xdr:from>
    <xdr:to>
      <xdr:col>8</xdr:col>
      <xdr:colOff>190500</xdr:colOff>
      <xdr:row>544</xdr:row>
      <xdr:rowOff>142875</xdr:rowOff>
    </xdr:to>
    <xdr:sp macro="" textlink="">
      <xdr:nvSpPr>
        <xdr:cNvPr id="511" name="AutoShape 60" descr="https://1portodos.com.br/ResidencialVillage/images/proibido-preto.svg">
          <a:extLst>
            <a:ext uri="{FF2B5EF4-FFF2-40B4-BE49-F238E27FC236}">
              <a16:creationId xmlns:a16="http://schemas.microsoft.com/office/drawing/2014/main" id="{893C6BE1-1F33-4AC2-A105-15A71541DA7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0747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533</xdr:row>
      <xdr:rowOff>571500</xdr:rowOff>
    </xdr:from>
    <xdr:to>
      <xdr:col>8</xdr:col>
      <xdr:colOff>190500</xdr:colOff>
      <xdr:row>535</xdr:row>
      <xdr:rowOff>142875</xdr:rowOff>
    </xdr:to>
    <xdr:sp macro="" textlink="">
      <xdr:nvSpPr>
        <xdr:cNvPr id="512" name="AutoShape 61" descr="https://1portodos.com.br/ResidencialVillage/images/proibido-preto.svg">
          <a:extLst>
            <a:ext uri="{FF2B5EF4-FFF2-40B4-BE49-F238E27FC236}">
              <a16:creationId xmlns:a16="http://schemas.microsoft.com/office/drawing/2014/main" id="{9854DB40-4514-4AA5-A2A8-28821CCEFD83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8461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538</xdr:row>
      <xdr:rowOff>581025</xdr:rowOff>
    </xdr:from>
    <xdr:to>
      <xdr:col>8</xdr:col>
      <xdr:colOff>190500</xdr:colOff>
      <xdr:row>540</xdr:row>
      <xdr:rowOff>142875</xdr:rowOff>
    </xdr:to>
    <xdr:sp macro="" textlink="">
      <xdr:nvSpPr>
        <xdr:cNvPr id="513" name="AutoShape 62" descr="https://1portodos.com.br/ResidencialVillage/images/proibido-preto.svg">
          <a:extLst>
            <a:ext uri="{FF2B5EF4-FFF2-40B4-BE49-F238E27FC236}">
              <a16:creationId xmlns:a16="http://schemas.microsoft.com/office/drawing/2014/main" id="{13DF34DD-29A7-44F1-B30D-9D84730B0FB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9985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513</xdr:row>
      <xdr:rowOff>590550</xdr:rowOff>
    </xdr:from>
    <xdr:to>
      <xdr:col>8</xdr:col>
      <xdr:colOff>190500</xdr:colOff>
      <xdr:row>515</xdr:row>
      <xdr:rowOff>142875</xdr:rowOff>
    </xdr:to>
    <xdr:sp macro="" textlink="">
      <xdr:nvSpPr>
        <xdr:cNvPr id="514" name="AutoShape 63" descr="https://1portodos.com.br/ResidencialVillage/images/proibido-preto.svg">
          <a:extLst>
            <a:ext uri="{FF2B5EF4-FFF2-40B4-BE49-F238E27FC236}">
              <a16:creationId xmlns:a16="http://schemas.microsoft.com/office/drawing/2014/main" id="{7E989C7D-9D14-4F58-97AC-BCDDDA17794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2860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</xdr:row>
      <xdr:rowOff>600075</xdr:rowOff>
    </xdr:from>
    <xdr:to>
      <xdr:col>8</xdr:col>
      <xdr:colOff>190500</xdr:colOff>
      <xdr:row>41</xdr:row>
      <xdr:rowOff>142875</xdr:rowOff>
    </xdr:to>
    <xdr:sp macro="" textlink="">
      <xdr:nvSpPr>
        <xdr:cNvPr id="515" name="AutoShape 64" descr="https://1portodos.com.br/ResidencialVillage/images/proibido-preto.svg">
          <a:extLst>
            <a:ext uri="{FF2B5EF4-FFF2-40B4-BE49-F238E27FC236}">
              <a16:creationId xmlns:a16="http://schemas.microsoft.com/office/drawing/2014/main" id="{6E670F8C-C039-4D06-896F-C48089CA837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7699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524</xdr:row>
      <xdr:rowOff>609600</xdr:rowOff>
    </xdr:from>
    <xdr:to>
      <xdr:col>8</xdr:col>
      <xdr:colOff>190500</xdr:colOff>
      <xdr:row>526</xdr:row>
      <xdr:rowOff>9525</xdr:rowOff>
    </xdr:to>
    <xdr:sp macro="" textlink="">
      <xdr:nvSpPr>
        <xdr:cNvPr id="516" name="AutoShape 65" descr="https://1portodos.com.br/ResidencialVillage/images/proibido-preto.svg">
          <a:extLst>
            <a:ext uri="{FF2B5EF4-FFF2-40B4-BE49-F238E27FC236}">
              <a16:creationId xmlns:a16="http://schemas.microsoft.com/office/drawing/2014/main" id="{F1CC2346-27E8-44F0-8860-3095E22F2CF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5527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483</xdr:row>
      <xdr:rowOff>619125</xdr:rowOff>
    </xdr:from>
    <xdr:to>
      <xdr:col>8</xdr:col>
      <xdr:colOff>190500</xdr:colOff>
      <xdr:row>485</xdr:row>
      <xdr:rowOff>142875</xdr:rowOff>
    </xdr:to>
    <xdr:sp macro="" textlink="">
      <xdr:nvSpPr>
        <xdr:cNvPr id="517" name="AutoShape 66" descr="https://1portodos.com.br/ResidencialVillage/images/proibido-preto.svg">
          <a:extLst>
            <a:ext uri="{FF2B5EF4-FFF2-40B4-BE49-F238E27FC236}">
              <a16:creationId xmlns:a16="http://schemas.microsoft.com/office/drawing/2014/main" id="{DD6FBD99-8806-47D7-B300-E94447DD2EB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6059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</xdr:row>
      <xdr:rowOff>628650</xdr:rowOff>
    </xdr:from>
    <xdr:to>
      <xdr:col>8</xdr:col>
      <xdr:colOff>190500</xdr:colOff>
      <xdr:row>34</xdr:row>
      <xdr:rowOff>142875</xdr:rowOff>
    </xdr:to>
    <xdr:sp macro="" textlink="">
      <xdr:nvSpPr>
        <xdr:cNvPr id="518" name="AutoShape 67" descr="https://1portodos.com.br/ResidencialVillage/images/proibido-preto.svg">
          <a:extLst>
            <a:ext uri="{FF2B5EF4-FFF2-40B4-BE49-F238E27FC236}">
              <a16:creationId xmlns:a16="http://schemas.microsoft.com/office/drawing/2014/main" id="{322C63CA-5467-40C2-8530-93A45E22A46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9413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525</xdr:row>
      <xdr:rowOff>638175</xdr:rowOff>
    </xdr:from>
    <xdr:to>
      <xdr:col>8</xdr:col>
      <xdr:colOff>190500</xdr:colOff>
      <xdr:row>527</xdr:row>
      <xdr:rowOff>142875</xdr:rowOff>
    </xdr:to>
    <xdr:sp macro="" textlink="">
      <xdr:nvSpPr>
        <xdr:cNvPr id="519" name="AutoShape 68" descr="https://1portodos.com.br/ResidencialVillage/images/proibido-preto.svg">
          <a:extLst>
            <a:ext uri="{FF2B5EF4-FFF2-40B4-BE49-F238E27FC236}">
              <a16:creationId xmlns:a16="http://schemas.microsoft.com/office/drawing/2014/main" id="{A1B2A301-2332-4761-BC0F-F23A485F9981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58513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493</xdr:row>
      <xdr:rowOff>647700</xdr:rowOff>
    </xdr:from>
    <xdr:to>
      <xdr:col>8</xdr:col>
      <xdr:colOff>190500</xdr:colOff>
      <xdr:row>495</xdr:row>
      <xdr:rowOff>142875</xdr:rowOff>
    </xdr:to>
    <xdr:sp macro="" textlink="">
      <xdr:nvSpPr>
        <xdr:cNvPr id="520" name="AutoShape 69" descr="https://1portodos.com.br/ResidencialVillage/images/proibido-preto.svg">
          <a:extLst>
            <a:ext uri="{FF2B5EF4-FFF2-40B4-BE49-F238E27FC236}">
              <a16:creationId xmlns:a16="http://schemas.microsoft.com/office/drawing/2014/main" id="{BE1FD4A5-2A79-4DF4-8F0D-8E2DE1774FA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8345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67</xdr:row>
      <xdr:rowOff>657225</xdr:rowOff>
    </xdr:from>
    <xdr:to>
      <xdr:col>8</xdr:col>
      <xdr:colOff>190500</xdr:colOff>
      <xdr:row>69</xdr:row>
      <xdr:rowOff>142875</xdr:rowOff>
    </xdr:to>
    <xdr:sp macro="" textlink="">
      <xdr:nvSpPr>
        <xdr:cNvPr id="521" name="AutoShape 70" descr="https://1portodos.com.br/ResidencialVillage/images/proibido-preto.svg">
          <a:extLst>
            <a:ext uri="{FF2B5EF4-FFF2-40B4-BE49-F238E27FC236}">
              <a16:creationId xmlns:a16="http://schemas.microsoft.com/office/drawing/2014/main" id="{E74E26FA-85B8-46F7-A5CE-80AB068610F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8842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534</xdr:row>
      <xdr:rowOff>666750</xdr:rowOff>
    </xdr:from>
    <xdr:to>
      <xdr:col>8</xdr:col>
      <xdr:colOff>190500</xdr:colOff>
      <xdr:row>536</xdr:row>
      <xdr:rowOff>142875</xdr:rowOff>
    </xdr:to>
    <xdr:sp macro="" textlink="">
      <xdr:nvSpPr>
        <xdr:cNvPr id="522" name="AutoShape 71" descr="https://1portodos.com.br/ResidencialVillage/images/proibido-preto.svg">
          <a:extLst>
            <a:ext uri="{FF2B5EF4-FFF2-40B4-BE49-F238E27FC236}">
              <a16:creationId xmlns:a16="http://schemas.microsoft.com/office/drawing/2014/main" id="{C3BFD354-5D5A-45C1-A466-7A4E8C7948E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8651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61</xdr:row>
      <xdr:rowOff>180975</xdr:rowOff>
    </xdr:from>
    <xdr:to>
      <xdr:col>8</xdr:col>
      <xdr:colOff>190500</xdr:colOff>
      <xdr:row>63</xdr:row>
      <xdr:rowOff>133350</xdr:rowOff>
    </xdr:to>
    <xdr:sp macro="" textlink="">
      <xdr:nvSpPr>
        <xdr:cNvPr id="523" name="AutoShape 72" descr="https://1portodos.com.br/ResidencialVillage/images/proibido-preto.svg">
          <a:extLst>
            <a:ext uri="{FF2B5EF4-FFF2-40B4-BE49-F238E27FC236}">
              <a16:creationId xmlns:a16="http://schemas.microsoft.com/office/drawing/2014/main" id="{ABE0058B-644A-45E9-A1FC-6292C6E758B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795510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61</xdr:row>
      <xdr:rowOff>685800</xdr:rowOff>
    </xdr:from>
    <xdr:to>
      <xdr:col>8</xdr:col>
      <xdr:colOff>190500</xdr:colOff>
      <xdr:row>63</xdr:row>
      <xdr:rowOff>142875</xdr:rowOff>
    </xdr:to>
    <xdr:sp macro="" textlink="">
      <xdr:nvSpPr>
        <xdr:cNvPr id="524" name="AutoShape 73" descr="https://1portodos.com.br/ResidencialVillage/images/proibido-preto.svg">
          <a:extLst>
            <a:ext uri="{FF2B5EF4-FFF2-40B4-BE49-F238E27FC236}">
              <a16:creationId xmlns:a16="http://schemas.microsoft.com/office/drawing/2014/main" id="{0F82E466-2295-4AE4-AF4E-32B01BE5466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7964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543</xdr:row>
      <xdr:rowOff>695325</xdr:rowOff>
    </xdr:from>
    <xdr:to>
      <xdr:col>8</xdr:col>
      <xdr:colOff>190500</xdr:colOff>
      <xdr:row>545</xdr:row>
      <xdr:rowOff>142875</xdr:rowOff>
    </xdr:to>
    <xdr:sp macro="" textlink="">
      <xdr:nvSpPr>
        <xdr:cNvPr id="525" name="AutoShape 74" descr="https://1portodos.com.br/ResidencialVillage/images/proibido-preto.svg">
          <a:extLst>
            <a:ext uri="{FF2B5EF4-FFF2-40B4-BE49-F238E27FC236}">
              <a16:creationId xmlns:a16="http://schemas.microsoft.com/office/drawing/2014/main" id="{3685E877-75FE-435C-B962-52AC29BF48A6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10937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526</xdr:row>
      <xdr:rowOff>209550</xdr:rowOff>
    </xdr:from>
    <xdr:to>
      <xdr:col>8</xdr:col>
      <xdr:colOff>190500</xdr:colOff>
      <xdr:row>529</xdr:row>
      <xdr:rowOff>76200</xdr:rowOff>
    </xdr:to>
    <xdr:sp macro="" textlink="">
      <xdr:nvSpPr>
        <xdr:cNvPr id="526" name="AutoShape 75" descr="https://1portodos.com.br/ResidencialVillage/images/proibido-preto.svg">
          <a:extLst>
            <a:ext uri="{FF2B5EF4-FFF2-40B4-BE49-F238E27FC236}">
              <a16:creationId xmlns:a16="http://schemas.microsoft.com/office/drawing/2014/main" id="{4D8ADF47-1101-4E76-813A-1D16214F6F89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6041825"/>
          <a:ext cx="190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526</xdr:row>
      <xdr:rowOff>714375</xdr:rowOff>
    </xdr:from>
    <xdr:to>
      <xdr:col>8</xdr:col>
      <xdr:colOff>190500</xdr:colOff>
      <xdr:row>528</xdr:row>
      <xdr:rowOff>142875</xdr:rowOff>
    </xdr:to>
    <xdr:sp macro="" textlink="">
      <xdr:nvSpPr>
        <xdr:cNvPr id="527" name="AutoShape 76" descr="https://1portodos.com.br/ResidencialVillage/images/proibido-preto.svg">
          <a:extLst>
            <a:ext uri="{FF2B5EF4-FFF2-40B4-BE49-F238E27FC236}">
              <a16:creationId xmlns:a16="http://schemas.microsoft.com/office/drawing/2014/main" id="{CA6D1BBB-2FED-40DF-A740-F56EEF14A658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60418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537</xdr:row>
      <xdr:rowOff>723900</xdr:rowOff>
    </xdr:from>
    <xdr:to>
      <xdr:col>8</xdr:col>
      <xdr:colOff>190500</xdr:colOff>
      <xdr:row>539</xdr:row>
      <xdr:rowOff>142875</xdr:rowOff>
    </xdr:to>
    <xdr:sp macro="" textlink="">
      <xdr:nvSpPr>
        <xdr:cNvPr id="528" name="AutoShape 77" descr="https://1portodos.com.br/ResidencialVillage/images/proibido-preto.svg">
          <a:extLst>
            <a:ext uri="{FF2B5EF4-FFF2-40B4-BE49-F238E27FC236}">
              <a16:creationId xmlns:a16="http://schemas.microsoft.com/office/drawing/2014/main" id="{3CE45836-3099-4777-A110-EBECCD00100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97946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485</xdr:row>
      <xdr:rowOff>733425</xdr:rowOff>
    </xdr:from>
    <xdr:to>
      <xdr:col>8</xdr:col>
      <xdr:colOff>190500</xdr:colOff>
      <xdr:row>487</xdr:row>
      <xdr:rowOff>142875</xdr:rowOff>
    </xdr:to>
    <xdr:sp macro="" textlink="">
      <xdr:nvSpPr>
        <xdr:cNvPr id="529" name="AutoShape 78" descr="https://1portodos.com.br/ResidencialVillage/images/proibido-preto.svg">
          <a:extLst>
            <a:ext uri="{FF2B5EF4-FFF2-40B4-BE49-F238E27FC236}">
              <a16:creationId xmlns:a16="http://schemas.microsoft.com/office/drawing/2014/main" id="{693ACACD-6735-4614-A9A9-632CDFC60677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6440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497</xdr:row>
      <xdr:rowOff>742950</xdr:rowOff>
    </xdr:from>
    <xdr:to>
      <xdr:col>8</xdr:col>
      <xdr:colOff>190500</xdr:colOff>
      <xdr:row>499</xdr:row>
      <xdr:rowOff>142875</xdr:rowOff>
    </xdr:to>
    <xdr:sp macro="" textlink="">
      <xdr:nvSpPr>
        <xdr:cNvPr id="530" name="AutoShape 79" descr="https://1portodos.com.br/ResidencialVillage/images/proibido-preto.svg">
          <a:extLst>
            <a:ext uri="{FF2B5EF4-FFF2-40B4-BE49-F238E27FC236}">
              <a16:creationId xmlns:a16="http://schemas.microsoft.com/office/drawing/2014/main" id="{C474AA09-702A-4D72-BEC0-98B14F40905F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9431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79</xdr:row>
      <xdr:rowOff>95250</xdr:rowOff>
    </xdr:from>
    <xdr:to>
      <xdr:col>8</xdr:col>
      <xdr:colOff>190500</xdr:colOff>
      <xdr:row>81</xdr:row>
      <xdr:rowOff>47625</xdr:rowOff>
    </xdr:to>
    <xdr:sp macro="" textlink="">
      <xdr:nvSpPr>
        <xdr:cNvPr id="531" name="AutoShape 80" descr="https://1portodos.com.br/ResidencialVillage/images/proibido-preto.svg">
          <a:extLst>
            <a:ext uri="{FF2B5EF4-FFF2-40B4-BE49-F238E27FC236}">
              <a16:creationId xmlns:a16="http://schemas.microsoft.com/office/drawing/2014/main" id="{56B51B51-E65B-4031-A376-CF82E61D9CAC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79849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79</xdr:row>
      <xdr:rowOff>762000</xdr:rowOff>
    </xdr:from>
    <xdr:to>
      <xdr:col>8</xdr:col>
      <xdr:colOff>190500</xdr:colOff>
      <xdr:row>81</xdr:row>
      <xdr:rowOff>142875</xdr:rowOff>
    </xdr:to>
    <xdr:sp macro="" textlink="">
      <xdr:nvSpPr>
        <xdr:cNvPr id="532" name="AutoShape 81" descr="https://1portodos.com.br/ResidencialVillage/images/proibido-preto.svg">
          <a:extLst>
            <a:ext uri="{FF2B5EF4-FFF2-40B4-BE49-F238E27FC236}">
              <a16:creationId xmlns:a16="http://schemas.microsoft.com/office/drawing/2014/main" id="{2130AFF9-942F-4435-B9BC-31BC496834A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80801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495</xdr:row>
      <xdr:rowOff>276225</xdr:rowOff>
    </xdr:from>
    <xdr:to>
      <xdr:col>8</xdr:col>
      <xdr:colOff>190500</xdr:colOff>
      <xdr:row>497</xdr:row>
      <xdr:rowOff>0</xdr:rowOff>
    </xdr:to>
    <xdr:sp macro="" textlink="">
      <xdr:nvSpPr>
        <xdr:cNvPr id="533" name="AutoShape 82" descr="https://1portodos.com.br/ResidencialVillage/images/proibido-preto.svg">
          <a:extLst>
            <a:ext uri="{FF2B5EF4-FFF2-40B4-BE49-F238E27FC236}">
              <a16:creationId xmlns:a16="http://schemas.microsoft.com/office/drawing/2014/main" id="{08802A80-D939-4894-B49A-6C3792481F8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89171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495</xdr:row>
      <xdr:rowOff>781050</xdr:rowOff>
    </xdr:from>
    <xdr:to>
      <xdr:col>8</xdr:col>
      <xdr:colOff>190500</xdr:colOff>
      <xdr:row>497</xdr:row>
      <xdr:rowOff>142875</xdr:rowOff>
    </xdr:to>
    <xdr:sp macro="" textlink="">
      <xdr:nvSpPr>
        <xdr:cNvPr id="534" name="AutoShape 83" descr="https://1portodos.com.br/ResidencialVillage/images/proibido-preto.svg">
          <a:extLst>
            <a:ext uri="{FF2B5EF4-FFF2-40B4-BE49-F238E27FC236}">
              <a16:creationId xmlns:a16="http://schemas.microsoft.com/office/drawing/2014/main" id="{5AA6C742-A3FB-4DA6-917B-67309AAE0B7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8917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515</xdr:row>
      <xdr:rowOff>790575</xdr:rowOff>
    </xdr:from>
    <xdr:to>
      <xdr:col>8</xdr:col>
      <xdr:colOff>190500</xdr:colOff>
      <xdr:row>517</xdr:row>
      <xdr:rowOff>142875</xdr:rowOff>
    </xdr:to>
    <xdr:sp macro="" textlink="">
      <xdr:nvSpPr>
        <xdr:cNvPr id="535" name="AutoShape 84" descr="https://1portodos.com.br/ResidencialVillage/images/proibido-preto.svg">
          <a:extLst>
            <a:ext uri="{FF2B5EF4-FFF2-40B4-BE49-F238E27FC236}">
              <a16:creationId xmlns:a16="http://schemas.microsoft.com/office/drawing/2014/main" id="{05569D29-2E32-44C6-A49B-C7D00740E1B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34319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502</xdr:row>
      <xdr:rowOff>142875</xdr:rowOff>
    </xdr:from>
    <xdr:to>
      <xdr:col>8</xdr:col>
      <xdr:colOff>190500</xdr:colOff>
      <xdr:row>504</xdr:row>
      <xdr:rowOff>95250</xdr:rowOff>
    </xdr:to>
    <xdr:sp macro="" textlink="">
      <xdr:nvSpPr>
        <xdr:cNvPr id="536" name="AutoShape 85" descr="https://1portodos.com.br/ResidencialVillage/images/proibido-preto.svg">
          <a:extLst>
            <a:ext uri="{FF2B5EF4-FFF2-40B4-BE49-F238E27FC236}">
              <a16:creationId xmlns:a16="http://schemas.microsoft.com/office/drawing/2014/main" id="{657EBAF7-0759-4721-B567-BB0C36B741EA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05268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502</xdr:row>
      <xdr:rowOff>809625</xdr:rowOff>
    </xdr:from>
    <xdr:to>
      <xdr:col>8</xdr:col>
      <xdr:colOff>190500</xdr:colOff>
      <xdr:row>504</xdr:row>
      <xdr:rowOff>142875</xdr:rowOff>
    </xdr:to>
    <xdr:sp macro="" textlink="">
      <xdr:nvSpPr>
        <xdr:cNvPr id="537" name="AutoShape 86" descr="https://1portodos.com.br/ResidencialVillage/images/proibido-preto.svg">
          <a:extLst>
            <a:ext uri="{FF2B5EF4-FFF2-40B4-BE49-F238E27FC236}">
              <a16:creationId xmlns:a16="http://schemas.microsoft.com/office/drawing/2014/main" id="{A2807C27-F0E0-40BA-8ABD-695459B7E0BD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0574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488</xdr:row>
      <xdr:rowOff>819150</xdr:rowOff>
    </xdr:from>
    <xdr:to>
      <xdr:col>8</xdr:col>
      <xdr:colOff>190500</xdr:colOff>
      <xdr:row>490</xdr:row>
      <xdr:rowOff>142875</xdr:rowOff>
    </xdr:to>
    <xdr:sp macro="" textlink="">
      <xdr:nvSpPr>
        <xdr:cNvPr id="538" name="AutoShape 87" descr="https://1portodos.com.br/ResidencialVillage/images/proibido-preto.svg">
          <a:extLst>
            <a:ext uri="{FF2B5EF4-FFF2-40B4-BE49-F238E27FC236}">
              <a16:creationId xmlns:a16="http://schemas.microsoft.com/office/drawing/2014/main" id="{F6919AE6-0717-448C-B4E1-8C109CBD5275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72026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528</xdr:row>
      <xdr:rowOff>333375</xdr:rowOff>
    </xdr:from>
    <xdr:to>
      <xdr:col>8</xdr:col>
      <xdr:colOff>190500</xdr:colOff>
      <xdr:row>530</xdr:row>
      <xdr:rowOff>9525</xdr:rowOff>
    </xdr:to>
    <xdr:sp macro="" textlink="">
      <xdr:nvSpPr>
        <xdr:cNvPr id="539" name="AutoShape 88" descr="https://1portodos.com.br/ResidencialVillage/images/proibido-preto.svg">
          <a:extLst>
            <a:ext uri="{FF2B5EF4-FFF2-40B4-BE49-F238E27FC236}">
              <a16:creationId xmlns:a16="http://schemas.microsoft.com/office/drawing/2014/main" id="{42A4EABE-5B95-4DAA-B6F3-A5A888C641C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64228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528</xdr:row>
      <xdr:rowOff>838200</xdr:rowOff>
    </xdr:from>
    <xdr:to>
      <xdr:col>8</xdr:col>
      <xdr:colOff>190500</xdr:colOff>
      <xdr:row>530</xdr:row>
      <xdr:rowOff>142875</xdr:rowOff>
    </xdr:to>
    <xdr:sp macro="" textlink="">
      <xdr:nvSpPr>
        <xdr:cNvPr id="540" name="AutoShape 89" descr="https://1portodos.com.br/ResidencialVillage/images/proibido-preto.svg">
          <a:extLst>
            <a:ext uri="{FF2B5EF4-FFF2-40B4-BE49-F238E27FC236}">
              <a16:creationId xmlns:a16="http://schemas.microsoft.com/office/drawing/2014/main" id="{DEF3DE32-BCDB-420E-998A-6EB11FFFEE0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64228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522</xdr:row>
      <xdr:rowOff>28575</xdr:rowOff>
    </xdr:from>
    <xdr:to>
      <xdr:col>8</xdr:col>
      <xdr:colOff>190500</xdr:colOff>
      <xdr:row>523</xdr:row>
      <xdr:rowOff>171450</xdr:rowOff>
    </xdr:to>
    <xdr:sp macro="" textlink="">
      <xdr:nvSpPr>
        <xdr:cNvPr id="541" name="AutoShape 90" descr="https://1portodos.com.br/ResidencialVillage/images/proibido-preto.svg">
          <a:extLst>
            <a:ext uri="{FF2B5EF4-FFF2-40B4-BE49-F238E27FC236}">
              <a16:creationId xmlns:a16="http://schemas.microsoft.com/office/drawing/2014/main" id="{8E44DCFE-59CF-4C2F-ADAA-9A32113B5854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4984550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522</xdr:row>
      <xdr:rowOff>857250</xdr:rowOff>
    </xdr:from>
    <xdr:to>
      <xdr:col>8</xdr:col>
      <xdr:colOff>190500</xdr:colOff>
      <xdr:row>524</xdr:row>
      <xdr:rowOff>142875</xdr:rowOff>
    </xdr:to>
    <xdr:sp macro="" textlink="">
      <xdr:nvSpPr>
        <xdr:cNvPr id="542" name="AutoShape 91" descr="https://1portodos.com.br/ResidencialVillage/images/proibido-preto.svg">
          <a:extLst>
            <a:ext uri="{FF2B5EF4-FFF2-40B4-BE49-F238E27FC236}">
              <a16:creationId xmlns:a16="http://schemas.microsoft.com/office/drawing/2014/main" id="{CF4FF6B1-A2E8-4CBE-8E3F-0A2BC7F81D9E}"/>
            </a:ext>
          </a:extLst>
        </xdr:cNvPr>
        <xdr:cNvSpPr>
          <a:spLocks noChangeAspect="1" noChangeArrowheads="1"/>
        </xdr:cNvSpPr>
      </xdr:nvSpPr>
      <xdr:spPr bwMode="auto">
        <a:xfrm>
          <a:off x="8229600" y="10514647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482</xdr:row>
      <xdr:rowOff>866775</xdr:rowOff>
    </xdr:from>
    <xdr:to>
      <xdr:col>8</xdr:col>
      <xdr:colOff>190500</xdr:colOff>
      <xdr:row>484</xdr:row>
      <xdr:rowOff>142875</xdr:rowOff>
    </xdr:to>
    <xdr:sp macro="" textlink="">
      <xdr:nvSpPr>
        <xdr:cNvPr id="543" name="AutoShape 92" descr="https://1portodos.com.br/ResidencialVillage/images/proibido-preto.svg">
          <a:extLst>
            <a:ext uri="{FF2B5EF4-FFF2-40B4-BE49-F238E27FC236}">
              <a16:creationId xmlns:a16="http://schemas.microsoft.com/office/drawing/2014/main" id="{B539D3AE-7F9D-4DB7-99E7-49C77567566B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5869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487</xdr:row>
      <xdr:rowOff>57150</xdr:rowOff>
    </xdr:from>
    <xdr:to>
      <xdr:col>8</xdr:col>
      <xdr:colOff>190500</xdr:colOff>
      <xdr:row>488</xdr:row>
      <xdr:rowOff>152400</xdr:rowOff>
    </xdr:to>
    <xdr:sp macro="" textlink="">
      <xdr:nvSpPr>
        <xdr:cNvPr id="544" name="AutoShape 93" descr="https://1portodos.com.br/ResidencialVillage/images/proibido-preto.svg">
          <a:extLst>
            <a:ext uri="{FF2B5EF4-FFF2-40B4-BE49-F238E27FC236}">
              <a16:creationId xmlns:a16="http://schemas.microsoft.com/office/drawing/2014/main" id="{08FC2A79-9FD1-4DD4-AE33-258023533BC0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6878775"/>
          <a:ext cx="190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487</xdr:row>
      <xdr:rowOff>885825</xdr:rowOff>
    </xdr:from>
    <xdr:to>
      <xdr:col>8</xdr:col>
      <xdr:colOff>190500</xdr:colOff>
      <xdr:row>489</xdr:row>
      <xdr:rowOff>142875</xdr:rowOff>
    </xdr:to>
    <xdr:sp macro="" textlink="">
      <xdr:nvSpPr>
        <xdr:cNvPr id="545" name="AutoShape 94" descr="https://1portodos.com.br/ResidencialVillage/images/proibido-preto.svg">
          <a:extLst>
            <a:ext uri="{FF2B5EF4-FFF2-40B4-BE49-F238E27FC236}">
              <a16:creationId xmlns:a16="http://schemas.microsoft.com/office/drawing/2014/main" id="{F1559A2B-0522-4150-8348-9F5CE5FBC8D2}"/>
            </a:ext>
          </a:extLst>
        </xdr:cNvPr>
        <xdr:cNvSpPr>
          <a:spLocks noChangeAspect="1" noChangeArrowheads="1"/>
        </xdr:cNvSpPr>
      </xdr:nvSpPr>
      <xdr:spPr bwMode="auto">
        <a:xfrm>
          <a:off x="8229600" y="97012125"/>
          <a:ext cx="190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A2B2-71B4-4964-88C3-2732F324B6D4}">
  <dimension ref="A1:I551"/>
  <sheetViews>
    <sheetView zoomScale="130" zoomScaleNormal="130" workbookViewId="0">
      <selection activeCell="F2" sqref="F2"/>
    </sheetView>
  </sheetViews>
  <sheetFormatPr defaultRowHeight="15" x14ac:dyDescent="0.25"/>
  <cols>
    <col min="1" max="1" width="14.42578125" bestFit="1" customWidth="1"/>
    <col min="2" max="2" width="15" style="2" customWidth="1"/>
    <col min="3" max="3" width="15.42578125" style="1" bestFit="1" customWidth="1"/>
    <col min="4" max="4" width="16.42578125" style="1" bestFit="1" customWidth="1"/>
    <col min="5" max="5" width="16.28515625" bestFit="1" customWidth="1"/>
    <col min="6" max="6" width="9.140625" style="11"/>
  </cols>
  <sheetData>
    <row r="1" spans="1:9" ht="18.75" x14ac:dyDescent="0.3">
      <c r="A1" s="43" t="s">
        <v>83</v>
      </c>
      <c r="B1" s="43"/>
      <c r="C1" s="43"/>
      <c r="D1" s="43"/>
      <c r="E1" s="43"/>
    </row>
    <row r="2" spans="1:9" x14ac:dyDescent="0.25">
      <c r="A2" s="42" t="s">
        <v>84</v>
      </c>
      <c r="B2" s="42"/>
      <c r="C2" s="42"/>
      <c r="D2" s="42"/>
      <c r="E2" s="9">
        <f>SUM(D5:D85)</f>
        <v>3377637.0000000028</v>
      </c>
      <c r="F2" s="11">
        <f>SUM(F5:F85)</f>
        <v>81</v>
      </c>
      <c r="I2" s="29" t="e">
        <f>VLOOKUP(H5,A9:C35,2,0)</f>
        <v>#N/A</v>
      </c>
    </row>
    <row r="3" spans="1:9" s="3" customFormat="1" x14ac:dyDescent="0.25">
      <c r="A3" s="7" t="s">
        <v>6</v>
      </c>
      <c r="B3" s="7" t="s">
        <v>7</v>
      </c>
      <c r="C3" s="8" t="s">
        <v>8</v>
      </c>
      <c r="D3" s="8" t="s">
        <v>9</v>
      </c>
      <c r="E3" s="8" t="s">
        <v>87</v>
      </c>
      <c r="F3" s="12"/>
      <c r="H3"/>
      <c r="I3"/>
    </row>
    <row r="4" spans="1:9" s="3" customFormat="1" x14ac:dyDescent="0.25">
      <c r="A4" s="7"/>
      <c r="B4" s="7"/>
      <c r="C4" s="8">
        <f>SUM(C5:C85)</f>
        <v>436666.85999999987</v>
      </c>
      <c r="D4" s="8">
        <f>SUM(D5:D85)</f>
        <v>3377637.0000000028</v>
      </c>
      <c r="E4" s="8">
        <f>SUM(E5:E85)</f>
        <v>2940970.1400000034</v>
      </c>
      <c r="F4" s="12"/>
      <c r="H4" t="s">
        <v>1128</v>
      </c>
      <c r="I4" s="29" t="s">
        <v>1129</v>
      </c>
    </row>
    <row r="5" spans="1:9" x14ac:dyDescent="0.25">
      <c r="A5" s="4" t="s">
        <v>57</v>
      </c>
      <c r="B5" s="5">
        <v>179</v>
      </c>
      <c r="C5" s="6">
        <v>47546.02</v>
      </c>
      <c r="D5" s="6">
        <v>1957145.56</v>
      </c>
      <c r="E5" s="10">
        <f t="shared" ref="E5:E36" si="0">D5-C5</f>
        <v>1909599.54</v>
      </c>
      <c r="F5" s="13">
        <v>1</v>
      </c>
      <c r="H5" s="4" t="s">
        <v>57</v>
      </c>
      <c r="I5">
        <f>VLOOKUP(H5,A5:E85,5,0)</f>
        <v>1909599.54</v>
      </c>
    </row>
    <row r="6" spans="1:9" x14ac:dyDescent="0.25">
      <c r="A6" s="4" t="s">
        <v>53</v>
      </c>
      <c r="B6" s="5">
        <v>154</v>
      </c>
      <c r="C6" s="6">
        <v>62651.41</v>
      </c>
      <c r="D6" s="6">
        <v>708179.44</v>
      </c>
      <c r="E6" s="10">
        <f t="shared" si="0"/>
        <v>645528.02999999991</v>
      </c>
      <c r="F6" s="13">
        <v>1</v>
      </c>
      <c r="H6" s="3" t="s">
        <v>0</v>
      </c>
      <c r="I6" s="3"/>
    </row>
    <row r="7" spans="1:9" x14ac:dyDescent="0.25">
      <c r="A7" s="4" t="s">
        <v>54</v>
      </c>
      <c r="B7" s="5">
        <v>68</v>
      </c>
      <c r="C7" s="6">
        <v>29182.02</v>
      </c>
      <c r="D7" s="6">
        <v>290586.5</v>
      </c>
      <c r="E7" s="10">
        <f t="shared" si="0"/>
        <v>261404.48</v>
      </c>
      <c r="F7" s="13">
        <v>1</v>
      </c>
      <c r="H7" s="3" t="s">
        <v>1131</v>
      </c>
      <c r="I7" s="3"/>
    </row>
    <row r="8" spans="1:9" x14ac:dyDescent="0.25">
      <c r="A8" s="4" t="s">
        <v>73</v>
      </c>
      <c r="B8" s="5">
        <v>83</v>
      </c>
      <c r="C8" s="6">
        <v>38226.46</v>
      </c>
      <c r="D8" s="6">
        <v>77430.58</v>
      </c>
      <c r="E8" s="10">
        <f t="shared" si="0"/>
        <v>39204.120000000003</v>
      </c>
      <c r="F8" s="13">
        <v>1</v>
      </c>
      <c r="H8" t="s">
        <v>1132</v>
      </c>
    </row>
    <row r="9" spans="1:9" x14ac:dyDescent="0.25">
      <c r="A9" s="4" t="s">
        <v>39</v>
      </c>
      <c r="B9" s="5">
        <v>42</v>
      </c>
      <c r="C9" s="6">
        <v>19262.28</v>
      </c>
      <c r="D9" s="6">
        <v>39786.050000000003</v>
      </c>
      <c r="E9" s="10">
        <f t="shared" si="0"/>
        <v>20523.770000000004</v>
      </c>
      <c r="F9" s="13">
        <v>1</v>
      </c>
      <c r="H9" t="s">
        <v>2</v>
      </c>
    </row>
    <row r="10" spans="1:9" x14ac:dyDescent="0.25">
      <c r="A10" s="4" t="s">
        <v>10</v>
      </c>
      <c r="B10" s="5">
        <v>41</v>
      </c>
      <c r="C10" s="6">
        <v>19485.689999999999</v>
      </c>
      <c r="D10" s="6">
        <v>26509.09</v>
      </c>
      <c r="E10" s="10">
        <f t="shared" si="0"/>
        <v>7023.4000000000015</v>
      </c>
      <c r="F10" s="13">
        <v>1</v>
      </c>
      <c r="H10" t="s">
        <v>1133</v>
      </c>
    </row>
    <row r="11" spans="1:9" x14ac:dyDescent="0.25">
      <c r="A11" s="4" t="s">
        <v>63</v>
      </c>
      <c r="B11" s="5">
        <v>3</v>
      </c>
      <c r="C11" s="6">
        <v>1207.49</v>
      </c>
      <c r="D11" s="6">
        <v>24521.38</v>
      </c>
      <c r="E11" s="10">
        <f t="shared" si="0"/>
        <v>23313.89</v>
      </c>
      <c r="F11" s="13">
        <v>1</v>
      </c>
      <c r="H11" t="s">
        <v>3</v>
      </c>
    </row>
    <row r="12" spans="1:9" x14ac:dyDescent="0.25">
      <c r="A12" s="4" t="s">
        <v>1</v>
      </c>
      <c r="B12" s="5">
        <v>10</v>
      </c>
      <c r="C12" s="6">
        <v>15193.4</v>
      </c>
      <c r="D12" s="6">
        <v>16769.169999999998</v>
      </c>
      <c r="E12" s="10">
        <f t="shared" si="0"/>
        <v>1575.7699999999986</v>
      </c>
      <c r="F12" s="13">
        <v>1</v>
      </c>
      <c r="H12" t="s">
        <v>4</v>
      </c>
    </row>
    <row r="13" spans="1:9" x14ac:dyDescent="0.25">
      <c r="A13" s="4" t="s">
        <v>77</v>
      </c>
      <c r="B13" s="5">
        <v>13</v>
      </c>
      <c r="C13" s="6">
        <v>8690.27</v>
      </c>
      <c r="D13" s="6">
        <v>12654.41</v>
      </c>
      <c r="E13" s="10">
        <f t="shared" si="0"/>
        <v>3964.1399999999994</v>
      </c>
      <c r="F13" s="13">
        <v>1</v>
      </c>
      <c r="H13" t="s">
        <v>5</v>
      </c>
    </row>
    <row r="14" spans="1:9" x14ac:dyDescent="0.25">
      <c r="A14" s="4" t="s">
        <v>32</v>
      </c>
      <c r="B14" s="5">
        <v>19</v>
      </c>
      <c r="C14" s="6">
        <v>9918.81</v>
      </c>
      <c r="D14" s="6">
        <v>12220.13</v>
      </c>
      <c r="E14" s="10">
        <f t="shared" si="0"/>
        <v>2301.3199999999997</v>
      </c>
      <c r="F14" s="13">
        <v>1</v>
      </c>
      <c r="H14" t="s">
        <v>10</v>
      </c>
    </row>
    <row r="15" spans="1:9" x14ac:dyDescent="0.25">
      <c r="A15" s="4" t="s">
        <v>51</v>
      </c>
      <c r="B15" s="5">
        <v>17</v>
      </c>
      <c r="C15" s="6">
        <v>8147.26</v>
      </c>
      <c r="D15" s="6">
        <v>10618.13</v>
      </c>
      <c r="E15" s="10">
        <f t="shared" si="0"/>
        <v>2470.869999999999</v>
      </c>
      <c r="F15" s="13">
        <v>1</v>
      </c>
      <c r="H15" t="s">
        <v>1134</v>
      </c>
    </row>
    <row r="16" spans="1:9" x14ac:dyDescent="0.25">
      <c r="A16" s="4" t="s">
        <v>31</v>
      </c>
      <c r="B16" s="5">
        <v>10</v>
      </c>
      <c r="C16" s="6">
        <v>9458.1</v>
      </c>
      <c r="D16" s="6">
        <v>10583.76</v>
      </c>
      <c r="E16" s="10">
        <f t="shared" si="0"/>
        <v>1125.6599999999999</v>
      </c>
      <c r="F16" s="13">
        <v>1</v>
      </c>
      <c r="H16" t="s">
        <v>1135</v>
      </c>
    </row>
    <row r="17" spans="1:8" x14ac:dyDescent="0.25">
      <c r="A17" s="4" t="s">
        <v>4</v>
      </c>
      <c r="B17" s="5">
        <v>16</v>
      </c>
      <c r="C17" s="6">
        <v>8180</v>
      </c>
      <c r="D17" s="6">
        <v>9873.3799999999992</v>
      </c>
      <c r="E17" s="10">
        <f t="shared" si="0"/>
        <v>1693.3799999999992</v>
      </c>
      <c r="F17" s="13">
        <v>1</v>
      </c>
      <c r="H17" t="s">
        <v>1136</v>
      </c>
    </row>
    <row r="18" spans="1:8" x14ac:dyDescent="0.25">
      <c r="A18" s="4" t="s">
        <v>48</v>
      </c>
      <c r="B18" s="5">
        <v>16</v>
      </c>
      <c r="C18" s="6">
        <v>8210</v>
      </c>
      <c r="D18" s="6">
        <v>9757.44</v>
      </c>
      <c r="E18" s="10">
        <f t="shared" si="0"/>
        <v>1547.4400000000005</v>
      </c>
      <c r="F18" s="13">
        <v>1</v>
      </c>
      <c r="H18" t="s">
        <v>1137</v>
      </c>
    </row>
    <row r="19" spans="1:8" x14ac:dyDescent="0.25">
      <c r="A19" s="4" t="s">
        <v>2</v>
      </c>
      <c r="B19" s="5">
        <v>8</v>
      </c>
      <c r="C19" s="6">
        <v>8770</v>
      </c>
      <c r="D19" s="6">
        <v>9524.82</v>
      </c>
      <c r="E19" s="10">
        <f t="shared" si="0"/>
        <v>754.81999999999971</v>
      </c>
      <c r="F19" s="13">
        <v>1</v>
      </c>
      <c r="H19" t="s">
        <v>1138</v>
      </c>
    </row>
    <row r="20" spans="1:8" x14ac:dyDescent="0.25">
      <c r="A20" s="4" t="s">
        <v>15</v>
      </c>
      <c r="B20" s="5">
        <v>15</v>
      </c>
      <c r="C20" s="6">
        <v>7680</v>
      </c>
      <c r="D20" s="6">
        <v>9227.17</v>
      </c>
      <c r="E20" s="10">
        <f t="shared" si="0"/>
        <v>1547.17</v>
      </c>
      <c r="F20" s="13">
        <v>1</v>
      </c>
      <c r="H20" t="s">
        <v>11</v>
      </c>
    </row>
    <row r="21" spans="1:8" x14ac:dyDescent="0.25">
      <c r="A21" s="4" t="s">
        <v>25</v>
      </c>
      <c r="B21" s="5">
        <v>11</v>
      </c>
      <c r="C21" s="6">
        <v>7409.29</v>
      </c>
      <c r="D21" s="6">
        <v>8610.1200000000008</v>
      </c>
      <c r="E21" s="10">
        <f t="shared" si="0"/>
        <v>1200.8300000000008</v>
      </c>
      <c r="F21" s="13">
        <v>1</v>
      </c>
      <c r="H21" t="s">
        <v>1139</v>
      </c>
    </row>
    <row r="22" spans="1:8" x14ac:dyDescent="0.25">
      <c r="A22" s="4" t="s">
        <v>79</v>
      </c>
      <c r="B22" s="5">
        <v>14</v>
      </c>
      <c r="C22" s="6">
        <v>7270</v>
      </c>
      <c r="D22" s="6">
        <v>8253.66</v>
      </c>
      <c r="E22" s="10">
        <f t="shared" si="0"/>
        <v>983.65999999999985</v>
      </c>
      <c r="F22" s="13">
        <v>1</v>
      </c>
      <c r="H22" t="s">
        <v>1140</v>
      </c>
    </row>
    <row r="23" spans="1:8" x14ac:dyDescent="0.25">
      <c r="A23" s="4" t="s">
        <v>12</v>
      </c>
      <c r="B23" s="5">
        <v>13</v>
      </c>
      <c r="C23" s="6">
        <v>6650</v>
      </c>
      <c r="D23" s="6">
        <v>8051.65</v>
      </c>
      <c r="E23" s="10">
        <f t="shared" si="0"/>
        <v>1401.6499999999996</v>
      </c>
      <c r="F23" s="13">
        <v>1</v>
      </c>
      <c r="H23" t="s">
        <v>1141</v>
      </c>
    </row>
    <row r="24" spans="1:8" x14ac:dyDescent="0.25">
      <c r="A24" s="4" t="s">
        <v>76</v>
      </c>
      <c r="B24" s="5">
        <v>10</v>
      </c>
      <c r="C24" s="6">
        <v>6674.96</v>
      </c>
      <c r="D24" s="6">
        <v>7662.46</v>
      </c>
      <c r="E24" s="10">
        <f t="shared" si="0"/>
        <v>987.5</v>
      </c>
      <c r="F24" s="13">
        <v>1</v>
      </c>
      <c r="H24" t="s">
        <v>1142</v>
      </c>
    </row>
    <row r="25" spans="1:8" x14ac:dyDescent="0.25">
      <c r="A25" s="4" t="s">
        <v>49</v>
      </c>
      <c r="B25" s="5">
        <v>21</v>
      </c>
      <c r="C25" s="6">
        <v>6609</v>
      </c>
      <c r="D25" s="6">
        <v>7359.13</v>
      </c>
      <c r="E25" s="10">
        <f t="shared" si="0"/>
        <v>750.13000000000011</v>
      </c>
      <c r="F25" s="13">
        <v>1</v>
      </c>
      <c r="H25" t="s">
        <v>1143</v>
      </c>
    </row>
    <row r="26" spans="1:8" x14ac:dyDescent="0.25">
      <c r="A26" s="4" t="s">
        <v>26</v>
      </c>
      <c r="B26" s="5">
        <v>11</v>
      </c>
      <c r="C26" s="6">
        <v>4921.24</v>
      </c>
      <c r="D26" s="6">
        <v>7186.21</v>
      </c>
      <c r="E26" s="10">
        <f t="shared" si="0"/>
        <v>2264.9700000000003</v>
      </c>
      <c r="F26" s="13">
        <v>1</v>
      </c>
      <c r="H26" t="s">
        <v>1144</v>
      </c>
    </row>
    <row r="27" spans="1:8" x14ac:dyDescent="0.25">
      <c r="A27" s="4" t="s">
        <v>42</v>
      </c>
      <c r="B27" s="5">
        <v>12</v>
      </c>
      <c r="C27" s="6">
        <v>5765.75</v>
      </c>
      <c r="D27" s="6">
        <v>7070.41</v>
      </c>
      <c r="E27" s="10">
        <f t="shared" si="0"/>
        <v>1304.6599999999999</v>
      </c>
      <c r="F27" s="13">
        <v>1</v>
      </c>
      <c r="H27" t="s">
        <v>12</v>
      </c>
    </row>
    <row r="28" spans="1:8" x14ac:dyDescent="0.25">
      <c r="A28" s="4" t="s">
        <v>5</v>
      </c>
      <c r="B28" s="5">
        <v>11</v>
      </c>
      <c r="C28" s="6">
        <v>5620</v>
      </c>
      <c r="D28" s="6">
        <v>6781.55</v>
      </c>
      <c r="E28" s="10">
        <f t="shared" si="0"/>
        <v>1161.5500000000002</v>
      </c>
      <c r="F28" s="13">
        <v>1</v>
      </c>
      <c r="H28" t="s">
        <v>1145</v>
      </c>
    </row>
    <row r="29" spans="1:8" x14ac:dyDescent="0.25">
      <c r="A29" s="4" t="s">
        <v>16</v>
      </c>
      <c r="B29" s="5">
        <v>18</v>
      </c>
      <c r="C29" s="6">
        <v>6253.44</v>
      </c>
      <c r="D29" s="6">
        <v>6673.95</v>
      </c>
      <c r="E29" s="10">
        <f t="shared" si="0"/>
        <v>420.51000000000022</v>
      </c>
      <c r="F29" s="13">
        <v>1</v>
      </c>
      <c r="H29" t="s">
        <v>1146</v>
      </c>
    </row>
    <row r="30" spans="1:8" x14ac:dyDescent="0.25">
      <c r="A30" s="4" t="s">
        <v>3</v>
      </c>
      <c r="B30" s="5">
        <v>11</v>
      </c>
      <c r="C30" s="6">
        <v>5710</v>
      </c>
      <c r="D30" s="6">
        <v>6496.29</v>
      </c>
      <c r="E30" s="10">
        <f t="shared" si="0"/>
        <v>786.29</v>
      </c>
      <c r="F30" s="13">
        <v>1</v>
      </c>
      <c r="H30" t="s">
        <v>13</v>
      </c>
    </row>
    <row r="31" spans="1:8" x14ac:dyDescent="0.25">
      <c r="A31" s="4" t="s">
        <v>41</v>
      </c>
      <c r="B31" s="5">
        <v>11</v>
      </c>
      <c r="C31" s="6">
        <v>5770</v>
      </c>
      <c r="D31" s="6">
        <v>6414.44</v>
      </c>
      <c r="E31" s="10">
        <f t="shared" si="0"/>
        <v>644.4399999999996</v>
      </c>
      <c r="F31" s="13">
        <v>1</v>
      </c>
      <c r="H31" t="s">
        <v>1147</v>
      </c>
    </row>
    <row r="32" spans="1:8" x14ac:dyDescent="0.25">
      <c r="A32" s="4" t="s">
        <v>43</v>
      </c>
      <c r="B32" s="5">
        <v>9</v>
      </c>
      <c r="C32" s="6">
        <v>4710</v>
      </c>
      <c r="D32" s="6">
        <v>5243.06</v>
      </c>
      <c r="E32" s="10">
        <f t="shared" si="0"/>
        <v>533.0600000000004</v>
      </c>
      <c r="F32" s="13">
        <v>1</v>
      </c>
      <c r="H32" t="s">
        <v>1148</v>
      </c>
    </row>
    <row r="33" spans="1:8" x14ac:dyDescent="0.25">
      <c r="A33" s="4" t="s">
        <v>23</v>
      </c>
      <c r="B33" s="5">
        <v>7</v>
      </c>
      <c r="C33" s="6">
        <v>4746.29</v>
      </c>
      <c r="D33" s="6">
        <v>5017.6499999999996</v>
      </c>
      <c r="E33" s="10">
        <f t="shared" si="0"/>
        <v>271.35999999999967</v>
      </c>
      <c r="F33" s="13">
        <v>1</v>
      </c>
      <c r="H33" t="s">
        <v>1149</v>
      </c>
    </row>
    <row r="34" spans="1:8" x14ac:dyDescent="0.25">
      <c r="A34" s="4" t="s">
        <v>30</v>
      </c>
      <c r="B34" s="5">
        <v>9</v>
      </c>
      <c r="C34" s="6">
        <v>4512.82</v>
      </c>
      <c r="D34" s="6">
        <v>4869.71</v>
      </c>
      <c r="E34" s="10">
        <f t="shared" si="0"/>
        <v>356.89000000000033</v>
      </c>
      <c r="F34" s="13">
        <v>1</v>
      </c>
      <c r="H34" t="s">
        <v>89</v>
      </c>
    </row>
    <row r="35" spans="1:8" x14ac:dyDescent="0.25">
      <c r="A35" s="4" t="s">
        <v>60</v>
      </c>
      <c r="B35" s="5">
        <v>8</v>
      </c>
      <c r="C35" s="6">
        <v>4191.5</v>
      </c>
      <c r="D35" s="6">
        <v>4622.99</v>
      </c>
      <c r="E35" s="10">
        <f t="shared" si="0"/>
        <v>431.48999999999978</v>
      </c>
      <c r="F35" s="13">
        <v>1</v>
      </c>
      <c r="H35" t="s">
        <v>1150</v>
      </c>
    </row>
    <row r="36" spans="1:8" x14ac:dyDescent="0.25">
      <c r="A36" s="4" t="s">
        <v>33</v>
      </c>
      <c r="B36" s="5">
        <v>12</v>
      </c>
      <c r="C36" s="6">
        <v>4151.93</v>
      </c>
      <c r="D36" s="6">
        <v>4609.47</v>
      </c>
      <c r="E36" s="10">
        <f t="shared" si="0"/>
        <v>457.53999999999996</v>
      </c>
      <c r="F36" s="13">
        <v>1</v>
      </c>
      <c r="H36" t="s">
        <v>1151</v>
      </c>
    </row>
    <row r="37" spans="1:8" x14ac:dyDescent="0.25">
      <c r="A37" s="4" t="s">
        <v>35</v>
      </c>
      <c r="B37" s="5">
        <v>6</v>
      </c>
      <c r="C37" s="6">
        <v>2962.94</v>
      </c>
      <c r="D37" s="6">
        <v>3743.39</v>
      </c>
      <c r="E37" s="10">
        <f t="shared" ref="E37:E68" si="1">D37-C37</f>
        <v>780.44999999999982</v>
      </c>
      <c r="F37" s="13">
        <v>1</v>
      </c>
      <c r="H37" t="s">
        <v>1152</v>
      </c>
    </row>
    <row r="38" spans="1:8" x14ac:dyDescent="0.25">
      <c r="A38" s="4" t="s">
        <v>69</v>
      </c>
      <c r="B38" s="5">
        <v>5</v>
      </c>
      <c r="C38" s="6">
        <v>2650</v>
      </c>
      <c r="D38" s="6">
        <v>2845.77</v>
      </c>
      <c r="E38" s="10">
        <f t="shared" si="1"/>
        <v>195.76999999999998</v>
      </c>
      <c r="F38" s="13">
        <v>1</v>
      </c>
      <c r="H38" t="s">
        <v>1153</v>
      </c>
    </row>
    <row r="39" spans="1:8" x14ac:dyDescent="0.25">
      <c r="A39" s="4" t="s">
        <v>52</v>
      </c>
      <c r="B39" s="5">
        <v>5</v>
      </c>
      <c r="C39" s="6">
        <v>2650</v>
      </c>
      <c r="D39" s="6">
        <v>2785.3</v>
      </c>
      <c r="E39" s="10">
        <f t="shared" si="1"/>
        <v>135.30000000000018</v>
      </c>
      <c r="F39" s="13">
        <v>1</v>
      </c>
      <c r="H39" t="s">
        <v>1154</v>
      </c>
    </row>
    <row r="40" spans="1:8" x14ac:dyDescent="0.25">
      <c r="A40" s="4" t="s">
        <v>24</v>
      </c>
      <c r="B40" s="5">
        <v>5</v>
      </c>
      <c r="C40" s="6">
        <v>2309.54</v>
      </c>
      <c r="D40" s="6">
        <v>2406.02</v>
      </c>
      <c r="E40" s="10">
        <f t="shared" si="1"/>
        <v>96.480000000000018</v>
      </c>
      <c r="F40" s="13">
        <v>1</v>
      </c>
      <c r="H40" t="s">
        <v>1155</v>
      </c>
    </row>
    <row r="41" spans="1:8" x14ac:dyDescent="0.25">
      <c r="A41" s="4" t="s">
        <v>82</v>
      </c>
      <c r="B41" s="5">
        <v>6</v>
      </c>
      <c r="C41" s="6">
        <v>2099.1</v>
      </c>
      <c r="D41" s="6">
        <v>2174.77</v>
      </c>
      <c r="E41" s="10">
        <f t="shared" si="1"/>
        <v>75.670000000000073</v>
      </c>
      <c r="F41" s="13">
        <v>1</v>
      </c>
      <c r="H41" t="s">
        <v>1156</v>
      </c>
    </row>
    <row r="42" spans="1:8" x14ac:dyDescent="0.25">
      <c r="A42" s="4" t="s">
        <v>61</v>
      </c>
      <c r="B42" s="5">
        <v>3</v>
      </c>
      <c r="C42" s="6">
        <v>1782.62</v>
      </c>
      <c r="D42" s="6">
        <v>1927.85</v>
      </c>
      <c r="E42" s="10">
        <f t="shared" si="1"/>
        <v>145.23000000000002</v>
      </c>
      <c r="F42" s="13">
        <v>1</v>
      </c>
      <c r="H42" t="s">
        <v>14</v>
      </c>
    </row>
    <row r="43" spans="1:8" x14ac:dyDescent="0.25">
      <c r="A43" s="4" t="s">
        <v>74</v>
      </c>
      <c r="B43" s="5">
        <v>3</v>
      </c>
      <c r="C43" s="6">
        <v>1590</v>
      </c>
      <c r="D43" s="6">
        <v>1662.99</v>
      </c>
      <c r="E43" s="10">
        <f t="shared" si="1"/>
        <v>72.990000000000009</v>
      </c>
      <c r="F43" s="13">
        <v>1</v>
      </c>
      <c r="H43" t="s">
        <v>15</v>
      </c>
    </row>
    <row r="44" spans="1:8" x14ac:dyDescent="0.25">
      <c r="A44" s="4" t="s">
        <v>71</v>
      </c>
      <c r="B44" s="5">
        <v>3</v>
      </c>
      <c r="C44" s="6">
        <v>1590</v>
      </c>
      <c r="D44" s="6">
        <v>1647.06</v>
      </c>
      <c r="E44" s="10">
        <f t="shared" si="1"/>
        <v>57.059999999999945</v>
      </c>
      <c r="F44" s="13">
        <v>1</v>
      </c>
      <c r="H44" t="s">
        <v>1157</v>
      </c>
    </row>
    <row r="45" spans="1:8" x14ac:dyDescent="0.25">
      <c r="A45" s="4" t="s">
        <v>65</v>
      </c>
      <c r="B45" s="5">
        <v>2</v>
      </c>
      <c r="C45" s="6">
        <v>1082.6300000000001</v>
      </c>
      <c r="D45" s="6">
        <v>1142.3</v>
      </c>
      <c r="E45" s="10">
        <f t="shared" si="1"/>
        <v>59.669999999999845</v>
      </c>
      <c r="F45" s="13">
        <v>1</v>
      </c>
      <c r="H45" t="s">
        <v>1158</v>
      </c>
    </row>
    <row r="46" spans="1:8" x14ac:dyDescent="0.25">
      <c r="A46" s="4" t="s">
        <v>75</v>
      </c>
      <c r="B46" s="5">
        <v>2</v>
      </c>
      <c r="C46" s="6">
        <v>1079.5</v>
      </c>
      <c r="D46" s="6">
        <v>1129.74</v>
      </c>
      <c r="E46" s="10">
        <f t="shared" si="1"/>
        <v>50.240000000000009</v>
      </c>
      <c r="F46" s="13">
        <v>1</v>
      </c>
      <c r="H46" t="s">
        <v>1159</v>
      </c>
    </row>
    <row r="47" spans="1:8" x14ac:dyDescent="0.25">
      <c r="A47" s="4" t="s">
        <v>46</v>
      </c>
      <c r="B47" s="5">
        <v>2</v>
      </c>
      <c r="C47" s="6">
        <v>1060</v>
      </c>
      <c r="D47" s="6">
        <v>1119.52</v>
      </c>
      <c r="E47" s="10">
        <f t="shared" si="1"/>
        <v>59.519999999999982</v>
      </c>
      <c r="F47" s="13">
        <v>1</v>
      </c>
      <c r="H47" t="s">
        <v>1160</v>
      </c>
    </row>
    <row r="48" spans="1:8" x14ac:dyDescent="0.25">
      <c r="A48" s="4" t="s">
        <v>62</v>
      </c>
      <c r="B48" s="5">
        <v>2</v>
      </c>
      <c r="C48" s="6">
        <v>1060</v>
      </c>
      <c r="D48" s="6">
        <v>1099.57</v>
      </c>
      <c r="E48" s="10">
        <f t="shared" si="1"/>
        <v>39.569999999999936</v>
      </c>
      <c r="F48" s="13">
        <v>1</v>
      </c>
      <c r="H48" t="s">
        <v>1161</v>
      </c>
    </row>
    <row r="49" spans="1:8" x14ac:dyDescent="0.25">
      <c r="A49" s="4" t="s">
        <v>67</v>
      </c>
      <c r="B49" s="5">
        <v>2</v>
      </c>
      <c r="C49" s="6">
        <v>1060</v>
      </c>
      <c r="D49" s="6">
        <v>1092.19</v>
      </c>
      <c r="E49" s="10">
        <f t="shared" si="1"/>
        <v>32.190000000000055</v>
      </c>
      <c r="F49" s="13">
        <v>1</v>
      </c>
      <c r="H49" t="s">
        <v>1162</v>
      </c>
    </row>
    <row r="50" spans="1:8" x14ac:dyDescent="0.25">
      <c r="A50" s="4" t="s">
        <v>64</v>
      </c>
      <c r="B50" s="5">
        <v>2</v>
      </c>
      <c r="C50" s="6">
        <v>1060</v>
      </c>
      <c r="D50" s="6">
        <v>1092.19</v>
      </c>
      <c r="E50" s="10">
        <f t="shared" si="1"/>
        <v>32.190000000000055</v>
      </c>
      <c r="F50" s="13">
        <v>1</v>
      </c>
      <c r="H50" t="s">
        <v>1163</v>
      </c>
    </row>
    <row r="51" spans="1:8" x14ac:dyDescent="0.25">
      <c r="A51" s="4" t="s">
        <v>56</v>
      </c>
      <c r="B51" s="5">
        <v>1</v>
      </c>
      <c r="C51" s="6">
        <v>589.91</v>
      </c>
      <c r="D51" s="6">
        <v>1092.19</v>
      </c>
      <c r="E51" s="10">
        <f t="shared" si="1"/>
        <v>502.28000000000009</v>
      </c>
      <c r="F51" s="13">
        <v>1</v>
      </c>
      <c r="H51" t="s">
        <v>16</v>
      </c>
    </row>
    <row r="52" spans="1:8" x14ac:dyDescent="0.25">
      <c r="A52" s="4" t="s">
        <v>55</v>
      </c>
      <c r="B52" s="5">
        <v>2</v>
      </c>
      <c r="C52" s="6">
        <v>1060</v>
      </c>
      <c r="D52" s="6">
        <v>1092.19</v>
      </c>
      <c r="E52" s="10">
        <f t="shared" si="1"/>
        <v>32.190000000000055</v>
      </c>
      <c r="F52" s="13">
        <v>1</v>
      </c>
      <c r="H52" t="s">
        <v>1164</v>
      </c>
    </row>
    <row r="53" spans="1:8" x14ac:dyDescent="0.25">
      <c r="A53" s="4" t="s">
        <v>13</v>
      </c>
      <c r="B53" s="5">
        <v>2</v>
      </c>
      <c r="C53" s="6">
        <v>1060</v>
      </c>
      <c r="D53" s="6">
        <v>1092.19</v>
      </c>
      <c r="E53" s="10">
        <f t="shared" si="1"/>
        <v>32.190000000000055</v>
      </c>
      <c r="F53" s="13">
        <v>1</v>
      </c>
      <c r="H53" t="s">
        <v>1165</v>
      </c>
    </row>
    <row r="54" spans="1:8" x14ac:dyDescent="0.25">
      <c r="A54" s="4" t="s">
        <v>78</v>
      </c>
      <c r="B54" s="5">
        <v>1</v>
      </c>
      <c r="C54" s="6">
        <v>553.05999999999995</v>
      </c>
      <c r="D54" s="6">
        <v>674.49</v>
      </c>
      <c r="E54" s="10">
        <f t="shared" si="1"/>
        <v>121.43000000000006</v>
      </c>
      <c r="F54" s="13">
        <v>1</v>
      </c>
      <c r="H54" t="s">
        <v>1166</v>
      </c>
    </row>
    <row r="55" spans="1:8" x14ac:dyDescent="0.25">
      <c r="A55" s="4" t="s">
        <v>18</v>
      </c>
      <c r="B55" s="5">
        <v>1</v>
      </c>
      <c r="C55" s="6">
        <v>500</v>
      </c>
      <c r="D55" s="6">
        <v>646.21</v>
      </c>
      <c r="E55" s="10">
        <f t="shared" si="1"/>
        <v>146.21000000000004</v>
      </c>
      <c r="F55" s="13">
        <v>1</v>
      </c>
      <c r="H55" t="s">
        <v>1167</v>
      </c>
    </row>
    <row r="56" spans="1:8" x14ac:dyDescent="0.25">
      <c r="A56" s="4" t="s">
        <v>17</v>
      </c>
      <c r="B56" s="5">
        <v>2</v>
      </c>
      <c r="C56" s="6">
        <v>609.5</v>
      </c>
      <c r="D56" s="6">
        <v>628.29999999999995</v>
      </c>
      <c r="E56" s="10">
        <f t="shared" si="1"/>
        <v>18.799999999999955</v>
      </c>
      <c r="F56" s="13">
        <v>1</v>
      </c>
      <c r="H56" t="s">
        <v>1168</v>
      </c>
    </row>
    <row r="57" spans="1:8" x14ac:dyDescent="0.25">
      <c r="A57" s="4" t="s">
        <v>19</v>
      </c>
      <c r="B57" s="5">
        <v>1</v>
      </c>
      <c r="C57" s="6">
        <v>500</v>
      </c>
      <c r="D57" s="6">
        <v>617.79999999999995</v>
      </c>
      <c r="E57" s="10">
        <f t="shared" si="1"/>
        <v>117.79999999999995</v>
      </c>
      <c r="F57" s="13">
        <v>1</v>
      </c>
      <c r="H57" t="s">
        <v>1169</v>
      </c>
    </row>
    <row r="58" spans="1:8" x14ac:dyDescent="0.25">
      <c r="A58" s="4" t="s">
        <v>0</v>
      </c>
      <c r="B58" s="5">
        <v>1</v>
      </c>
      <c r="C58" s="6">
        <v>604.66999999999996</v>
      </c>
      <c r="D58" s="6">
        <v>609.35</v>
      </c>
      <c r="E58" s="10">
        <f t="shared" si="1"/>
        <v>4.6800000000000637</v>
      </c>
      <c r="F58" s="13">
        <v>1</v>
      </c>
      <c r="H58" t="s">
        <v>1170</v>
      </c>
    </row>
    <row r="59" spans="1:8" x14ac:dyDescent="0.25">
      <c r="A59" s="4" t="s">
        <v>11</v>
      </c>
      <c r="B59" s="5">
        <v>1</v>
      </c>
      <c r="C59" s="6">
        <v>530</v>
      </c>
      <c r="D59" s="6">
        <v>603.6</v>
      </c>
      <c r="E59" s="10">
        <f t="shared" si="1"/>
        <v>73.600000000000023</v>
      </c>
      <c r="F59" s="13">
        <v>1</v>
      </c>
      <c r="H59" t="s">
        <v>1171</v>
      </c>
    </row>
    <row r="60" spans="1:8" x14ac:dyDescent="0.25">
      <c r="A60" s="4" t="s">
        <v>40</v>
      </c>
      <c r="B60" s="5">
        <v>1</v>
      </c>
      <c r="C60" s="6">
        <v>580.65</v>
      </c>
      <c r="D60" s="6">
        <v>596.75</v>
      </c>
      <c r="E60" s="10">
        <f t="shared" si="1"/>
        <v>16.100000000000023</v>
      </c>
      <c r="F60" s="13">
        <v>1</v>
      </c>
      <c r="H60" t="s">
        <v>1172</v>
      </c>
    </row>
    <row r="61" spans="1:8" x14ac:dyDescent="0.25">
      <c r="A61" s="4" t="s">
        <v>59</v>
      </c>
      <c r="B61" s="5">
        <v>1</v>
      </c>
      <c r="C61" s="6">
        <v>530</v>
      </c>
      <c r="D61" s="6">
        <v>582.11</v>
      </c>
      <c r="E61" s="10">
        <f t="shared" si="1"/>
        <v>52.110000000000014</v>
      </c>
      <c r="F61" s="13">
        <v>1</v>
      </c>
      <c r="H61" t="s">
        <v>1173</v>
      </c>
    </row>
    <row r="62" spans="1:8" x14ac:dyDescent="0.25">
      <c r="A62" s="4" t="s">
        <v>58</v>
      </c>
      <c r="B62" s="5">
        <v>1</v>
      </c>
      <c r="C62" s="6">
        <v>530</v>
      </c>
      <c r="D62" s="6">
        <v>582.11</v>
      </c>
      <c r="E62" s="10">
        <f t="shared" si="1"/>
        <v>52.110000000000014</v>
      </c>
      <c r="F62" s="13">
        <v>1</v>
      </c>
      <c r="H62" t="s">
        <v>17</v>
      </c>
    </row>
    <row r="63" spans="1:8" x14ac:dyDescent="0.25">
      <c r="A63" s="4" t="s">
        <v>22</v>
      </c>
      <c r="B63" s="5">
        <v>1</v>
      </c>
      <c r="C63" s="6">
        <v>530</v>
      </c>
      <c r="D63" s="6">
        <v>574.82000000000005</v>
      </c>
      <c r="E63" s="10">
        <f t="shared" si="1"/>
        <v>44.82000000000005</v>
      </c>
      <c r="F63" s="13">
        <v>1</v>
      </c>
      <c r="H63" t="s">
        <v>18</v>
      </c>
    </row>
    <row r="64" spans="1:8" x14ac:dyDescent="0.25">
      <c r="A64" s="4" t="s">
        <v>44</v>
      </c>
      <c r="B64" s="5">
        <v>1</v>
      </c>
      <c r="C64" s="6">
        <v>530</v>
      </c>
      <c r="D64" s="6">
        <v>563.72</v>
      </c>
      <c r="E64" s="10">
        <f t="shared" si="1"/>
        <v>33.720000000000027</v>
      </c>
      <c r="F64" s="13">
        <v>1</v>
      </c>
      <c r="H64" t="s">
        <v>1174</v>
      </c>
    </row>
    <row r="65" spans="1:8" x14ac:dyDescent="0.25">
      <c r="A65" s="4" t="s">
        <v>47</v>
      </c>
      <c r="B65" s="5">
        <v>1</v>
      </c>
      <c r="C65" s="6">
        <v>547.30999999999995</v>
      </c>
      <c r="D65" s="6">
        <v>562.49</v>
      </c>
      <c r="E65" s="10">
        <f t="shared" si="1"/>
        <v>15.180000000000064</v>
      </c>
      <c r="F65" s="13">
        <v>1</v>
      </c>
      <c r="H65" t="s">
        <v>1175</v>
      </c>
    </row>
    <row r="66" spans="1:8" x14ac:dyDescent="0.25">
      <c r="A66" s="4" t="s">
        <v>72</v>
      </c>
      <c r="B66" s="5">
        <v>1</v>
      </c>
      <c r="C66" s="6">
        <v>530</v>
      </c>
      <c r="D66" s="6">
        <v>554.87</v>
      </c>
      <c r="E66" s="10">
        <f t="shared" si="1"/>
        <v>24.870000000000005</v>
      </c>
      <c r="F66" s="13">
        <v>1</v>
      </c>
      <c r="H66" t="s">
        <v>19</v>
      </c>
    </row>
    <row r="67" spans="1:8" x14ac:dyDescent="0.25">
      <c r="A67" s="4" t="s">
        <v>70</v>
      </c>
      <c r="B67" s="5">
        <v>1</v>
      </c>
      <c r="C67" s="6">
        <v>530</v>
      </c>
      <c r="D67" s="6">
        <v>554.87</v>
      </c>
      <c r="E67" s="10">
        <f t="shared" si="1"/>
        <v>24.870000000000005</v>
      </c>
      <c r="F67" s="13">
        <v>1</v>
      </c>
      <c r="H67" t="s">
        <v>1176</v>
      </c>
    </row>
    <row r="68" spans="1:8" x14ac:dyDescent="0.25">
      <c r="A68" s="4" t="s">
        <v>68</v>
      </c>
      <c r="B68" s="5">
        <v>1</v>
      </c>
      <c r="C68" s="6">
        <v>530</v>
      </c>
      <c r="D68" s="6">
        <v>554.87</v>
      </c>
      <c r="E68" s="10">
        <f t="shared" si="1"/>
        <v>24.870000000000005</v>
      </c>
      <c r="F68" s="13">
        <v>1</v>
      </c>
      <c r="H68" t="s">
        <v>21</v>
      </c>
    </row>
    <row r="69" spans="1:8" x14ac:dyDescent="0.25">
      <c r="A69" s="4" t="s">
        <v>14</v>
      </c>
      <c r="B69" s="5">
        <v>1</v>
      </c>
      <c r="C69" s="6">
        <v>530</v>
      </c>
      <c r="D69" s="6">
        <v>554.87</v>
      </c>
      <c r="E69" s="10">
        <f t="shared" ref="E69:E85" si="2">D69-C69</f>
        <v>24.870000000000005</v>
      </c>
      <c r="F69" s="13">
        <v>1</v>
      </c>
      <c r="H69" t="s">
        <v>1177</v>
      </c>
    </row>
    <row r="70" spans="1:8" x14ac:dyDescent="0.25">
      <c r="A70" s="4" t="s">
        <v>50</v>
      </c>
      <c r="B70" s="5">
        <v>1</v>
      </c>
      <c r="C70" s="6">
        <v>530</v>
      </c>
      <c r="D70" s="6">
        <v>547.49</v>
      </c>
      <c r="E70" s="10">
        <f t="shared" si="2"/>
        <v>17.490000000000009</v>
      </c>
      <c r="F70" s="13">
        <v>1</v>
      </c>
      <c r="H70" t="s">
        <v>1178</v>
      </c>
    </row>
    <row r="71" spans="1:8" x14ac:dyDescent="0.25">
      <c r="A71" s="4" t="s">
        <v>85</v>
      </c>
      <c r="B71" s="5">
        <v>1</v>
      </c>
      <c r="C71" s="6">
        <v>530</v>
      </c>
      <c r="D71" s="6">
        <v>547.49</v>
      </c>
      <c r="E71" s="10">
        <f t="shared" si="2"/>
        <v>17.490000000000009</v>
      </c>
      <c r="F71" s="13">
        <v>1</v>
      </c>
      <c r="H71" t="s">
        <v>1179</v>
      </c>
    </row>
    <row r="72" spans="1:8" x14ac:dyDescent="0.25">
      <c r="A72" s="4" t="s">
        <v>81</v>
      </c>
      <c r="B72" s="5">
        <v>1</v>
      </c>
      <c r="C72" s="6">
        <v>530</v>
      </c>
      <c r="D72" s="6">
        <v>544.70000000000005</v>
      </c>
      <c r="E72" s="10">
        <f t="shared" si="2"/>
        <v>14.700000000000045</v>
      </c>
      <c r="F72" s="13">
        <v>1</v>
      </c>
      <c r="H72" t="s">
        <v>20</v>
      </c>
    </row>
    <row r="73" spans="1:8" x14ac:dyDescent="0.25">
      <c r="A73" s="4" t="s">
        <v>80</v>
      </c>
      <c r="B73" s="5">
        <v>1</v>
      </c>
      <c r="C73" s="6">
        <v>530</v>
      </c>
      <c r="D73" s="6">
        <v>544.70000000000005</v>
      </c>
      <c r="E73" s="10">
        <f t="shared" si="2"/>
        <v>14.700000000000045</v>
      </c>
      <c r="F73" s="13">
        <v>1</v>
      </c>
      <c r="H73" t="s">
        <v>22</v>
      </c>
    </row>
    <row r="74" spans="1:8" x14ac:dyDescent="0.25">
      <c r="A74" s="4" t="s">
        <v>66</v>
      </c>
      <c r="B74" s="5">
        <v>1</v>
      </c>
      <c r="C74" s="6">
        <v>530</v>
      </c>
      <c r="D74" s="6">
        <v>544.70000000000005</v>
      </c>
      <c r="E74" s="10">
        <f t="shared" si="2"/>
        <v>14.700000000000045</v>
      </c>
      <c r="F74" s="13">
        <v>1</v>
      </c>
      <c r="H74" t="s">
        <v>23</v>
      </c>
    </row>
    <row r="75" spans="1:8" x14ac:dyDescent="0.25">
      <c r="A75" s="4" t="s">
        <v>86</v>
      </c>
      <c r="B75" s="5">
        <v>1</v>
      </c>
      <c r="C75" s="6">
        <v>530</v>
      </c>
      <c r="D75" s="6">
        <v>544.70000000000005</v>
      </c>
      <c r="E75" s="10">
        <f t="shared" si="2"/>
        <v>14.700000000000045</v>
      </c>
      <c r="F75" s="13">
        <v>1</v>
      </c>
      <c r="H75" t="s">
        <v>1180</v>
      </c>
    </row>
    <row r="76" spans="1:8" x14ac:dyDescent="0.25">
      <c r="A76" s="4" t="s">
        <v>45</v>
      </c>
      <c r="B76" s="5">
        <v>1</v>
      </c>
      <c r="C76" s="6">
        <v>530</v>
      </c>
      <c r="D76" s="6">
        <v>544.70000000000005</v>
      </c>
      <c r="E76" s="10">
        <f t="shared" si="2"/>
        <v>14.700000000000045</v>
      </c>
      <c r="F76" s="13">
        <v>1</v>
      </c>
      <c r="H76" t="s">
        <v>1181</v>
      </c>
    </row>
    <row r="77" spans="1:8" x14ac:dyDescent="0.25">
      <c r="A77" s="4" t="s">
        <v>38</v>
      </c>
      <c r="B77" s="5">
        <v>1</v>
      </c>
      <c r="C77" s="6">
        <v>530</v>
      </c>
      <c r="D77" s="6">
        <v>544.70000000000005</v>
      </c>
      <c r="E77" s="10">
        <f t="shared" si="2"/>
        <v>14.700000000000045</v>
      </c>
      <c r="F77" s="13">
        <v>1</v>
      </c>
      <c r="H77" t="s">
        <v>1182</v>
      </c>
    </row>
    <row r="78" spans="1:8" x14ac:dyDescent="0.25">
      <c r="A78" s="4" t="s">
        <v>37</v>
      </c>
      <c r="B78" s="5">
        <v>1</v>
      </c>
      <c r="C78" s="6">
        <v>530</v>
      </c>
      <c r="D78" s="6">
        <v>544.70000000000005</v>
      </c>
      <c r="E78" s="10">
        <f t="shared" si="2"/>
        <v>14.700000000000045</v>
      </c>
      <c r="F78" s="13">
        <v>1</v>
      </c>
      <c r="H78" t="s">
        <v>1183</v>
      </c>
    </row>
    <row r="79" spans="1:8" x14ac:dyDescent="0.25">
      <c r="A79" s="4" t="s">
        <v>36</v>
      </c>
      <c r="B79" s="5">
        <v>1</v>
      </c>
      <c r="C79" s="6">
        <v>530</v>
      </c>
      <c r="D79" s="6">
        <v>544.70000000000005</v>
      </c>
      <c r="E79" s="10">
        <f t="shared" si="2"/>
        <v>14.700000000000045</v>
      </c>
      <c r="F79" s="13">
        <v>1</v>
      </c>
      <c r="H79" t="s">
        <v>1184</v>
      </c>
    </row>
    <row r="80" spans="1:8" x14ac:dyDescent="0.25">
      <c r="A80" s="4" t="s">
        <v>34</v>
      </c>
      <c r="B80" s="5">
        <v>1</v>
      </c>
      <c r="C80" s="6">
        <v>530</v>
      </c>
      <c r="D80" s="6">
        <v>544.70000000000005</v>
      </c>
      <c r="E80" s="10">
        <f t="shared" si="2"/>
        <v>14.700000000000045</v>
      </c>
      <c r="F80" s="13">
        <v>1</v>
      </c>
      <c r="H80" t="s">
        <v>1185</v>
      </c>
    </row>
    <row r="81" spans="1:8" x14ac:dyDescent="0.25">
      <c r="A81" s="4" t="s">
        <v>29</v>
      </c>
      <c r="B81" s="5">
        <v>1</v>
      </c>
      <c r="C81" s="6">
        <v>530</v>
      </c>
      <c r="D81" s="6">
        <v>544.70000000000005</v>
      </c>
      <c r="E81" s="10">
        <f t="shared" si="2"/>
        <v>14.700000000000045</v>
      </c>
      <c r="F81" s="13">
        <v>1</v>
      </c>
      <c r="H81" t="s">
        <v>1186</v>
      </c>
    </row>
    <row r="82" spans="1:8" x14ac:dyDescent="0.25">
      <c r="A82" s="4" t="s">
        <v>28</v>
      </c>
      <c r="B82" s="5">
        <v>1</v>
      </c>
      <c r="C82" s="6">
        <v>530</v>
      </c>
      <c r="D82" s="6">
        <v>544.70000000000005</v>
      </c>
      <c r="E82" s="10">
        <f t="shared" si="2"/>
        <v>14.700000000000045</v>
      </c>
      <c r="F82" s="13">
        <v>1</v>
      </c>
      <c r="H82" t="s">
        <v>1187</v>
      </c>
    </row>
    <row r="83" spans="1:8" x14ac:dyDescent="0.25">
      <c r="A83" s="4" t="s">
        <v>27</v>
      </c>
      <c r="B83" s="5">
        <v>1</v>
      </c>
      <c r="C83" s="6">
        <v>530</v>
      </c>
      <c r="D83" s="6">
        <v>544.70000000000005</v>
      </c>
      <c r="E83" s="10">
        <f t="shared" si="2"/>
        <v>14.700000000000045</v>
      </c>
      <c r="F83" s="13">
        <v>1</v>
      </c>
      <c r="H83" t="s">
        <v>1188</v>
      </c>
    </row>
    <row r="84" spans="1:8" x14ac:dyDescent="0.25">
      <c r="A84" s="4" t="s">
        <v>20</v>
      </c>
      <c r="B84" s="5">
        <v>1</v>
      </c>
      <c r="C84" s="6">
        <v>530</v>
      </c>
      <c r="D84" s="6">
        <v>544.70000000000005</v>
      </c>
      <c r="E84" s="10">
        <f t="shared" si="2"/>
        <v>14.700000000000045</v>
      </c>
      <c r="F84" s="13">
        <v>1</v>
      </c>
      <c r="H84" t="s">
        <v>1189</v>
      </c>
    </row>
    <row r="85" spans="1:8" x14ac:dyDescent="0.25">
      <c r="A85" s="4" t="s">
        <v>21</v>
      </c>
      <c r="B85" s="5">
        <v>1</v>
      </c>
      <c r="C85" s="6">
        <v>530</v>
      </c>
      <c r="D85" s="6">
        <v>544.70000000000005</v>
      </c>
      <c r="E85" s="10">
        <f t="shared" si="2"/>
        <v>14.700000000000045</v>
      </c>
      <c r="F85" s="13">
        <v>1</v>
      </c>
      <c r="H85" t="s">
        <v>1190</v>
      </c>
    </row>
    <row r="86" spans="1:8" x14ac:dyDescent="0.25">
      <c r="F86" s="11">
        <f>SUM(F5:F85)</f>
        <v>81</v>
      </c>
      <c r="H86" t="s">
        <v>1191</v>
      </c>
    </row>
    <row r="87" spans="1:8" x14ac:dyDescent="0.25">
      <c r="F87" s="11">
        <f>F86/549</f>
        <v>0.14754098360655737</v>
      </c>
      <c r="H87" t="s">
        <v>1192</v>
      </c>
    </row>
    <row r="88" spans="1:8" x14ac:dyDescent="0.25">
      <c r="H88" t="s">
        <v>1193</v>
      </c>
    </row>
    <row r="89" spans="1:8" x14ac:dyDescent="0.25">
      <c r="H89" t="s">
        <v>1194</v>
      </c>
    </row>
    <row r="90" spans="1:8" x14ac:dyDescent="0.25">
      <c r="H90" t="s">
        <v>1195</v>
      </c>
    </row>
    <row r="91" spans="1:8" x14ac:dyDescent="0.25">
      <c r="H91" t="s">
        <v>24</v>
      </c>
    </row>
    <row r="92" spans="1:8" x14ac:dyDescent="0.25">
      <c r="H92" t="s">
        <v>1196</v>
      </c>
    </row>
    <row r="93" spans="1:8" x14ac:dyDescent="0.25">
      <c r="H93" t="s">
        <v>1197</v>
      </c>
    </row>
    <row r="94" spans="1:8" x14ac:dyDescent="0.25">
      <c r="H94" t="s">
        <v>1198</v>
      </c>
    </row>
    <row r="95" spans="1:8" x14ac:dyDescent="0.25">
      <c r="H95" t="s">
        <v>1199</v>
      </c>
    </row>
    <row r="96" spans="1:8" x14ac:dyDescent="0.25">
      <c r="H96" t="s">
        <v>1200</v>
      </c>
    </row>
    <row r="97" spans="8:8" x14ac:dyDescent="0.25">
      <c r="H97" t="s">
        <v>25</v>
      </c>
    </row>
    <row r="98" spans="8:8" x14ac:dyDescent="0.25">
      <c r="H98" t="s">
        <v>1201</v>
      </c>
    </row>
    <row r="99" spans="8:8" x14ac:dyDescent="0.25">
      <c r="H99" t="s">
        <v>1202</v>
      </c>
    </row>
    <row r="100" spans="8:8" x14ac:dyDescent="0.25">
      <c r="H100" t="s">
        <v>1203</v>
      </c>
    </row>
    <row r="101" spans="8:8" x14ac:dyDescent="0.25">
      <c r="H101" t="s">
        <v>1204</v>
      </c>
    </row>
    <row r="102" spans="8:8" x14ac:dyDescent="0.25">
      <c r="H102" t="s">
        <v>1205</v>
      </c>
    </row>
    <row r="103" spans="8:8" x14ac:dyDescent="0.25">
      <c r="H103" t="s">
        <v>1206</v>
      </c>
    </row>
    <row r="104" spans="8:8" x14ac:dyDescent="0.25">
      <c r="H104" t="s">
        <v>1207</v>
      </c>
    </row>
    <row r="105" spans="8:8" x14ac:dyDescent="0.25">
      <c r="H105" t="s">
        <v>1208</v>
      </c>
    </row>
    <row r="106" spans="8:8" x14ac:dyDescent="0.25">
      <c r="H106" t="s">
        <v>1209</v>
      </c>
    </row>
    <row r="107" spans="8:8" x14ac:dyDescent="0.25">
      <c r="H107" t="s">
        <v>1210</v>
      </c>
    </row>
    <row r="108" spans="8:8" x14ac:dyDescent="0.25">
      <c r="H108" t="s">
        <v>1211</v>
      </c>
    </row>
    <row r="109" spans="8:8" x14ac:dyDescent="0.25">
      <c r="H109" t="s">
        <v>1212</v>
      </c>
    </row>
    <row r="110" spans="8:8" x14ac:dyDescent="0.25">
      <c r="H110" t="s">
        <v>1213</v>
      </c>
    </row>
    <row r="111" spans="8:8" x14ac:dyDescent="0.25">
      <c r="H111" t="s">
        <v>1214</v>
      </c>
    </row>
    <row r="112" spans="8:8" x14ac:dyDescent="0.25">
      <c r="H112" t="s">
        <v>1215</v>
      </c>
    </row>
    <row r="113" spans="8:8" x14ac:dyDescent="0.25">
      <c r="H113" t="s">
        <v>1216</v>
      </c>
    </row>
    <row r="114" spans="8:8" x14ac:dyDescent="0.25">
      <c r="H114" t="s">
        <v>1217</v>
      </c>
    </row>
    <row r="115" spans="8:8" x14ac:dyDescent="0.25">
      <c r="H115" t="s">
        <v>1218</v>
      </c>
    </row>
    <row r="116" spans="8:8" x14ac:dyDescent="0.25">
      <c r="H116" t="s">
        <v>1219</v>
      </c>
    </row>
    <row r="117" spans="8:8" x14ac:dyDescent="0.25">
      <c r="H117" t="s">
        <v>1220</v>
      </c>
    </row>
    <row r="118" spans="8:8" x14ac:dyDescent="0.25">
      <c r="H118" t="s">
        <v>1221</v>
      </c>
    </row>
    <row r="119" spans="8:8" x14ac:dyDescent="0.25">
      <c r="H119" t="s">
        <v>1222</v>
      </c>
    </row>
    <row r="120" spans="8:8" x14ac:dyDescent="0.25">
      <c r="H120" t="s">
        <v>1223</v>
      </c>
    </row>
    <row r="121" spans="8:8" x14ac:dyDescent="0.25">
      <c r="H121" t="s">
        <v>1224</v>
      </c>
    </row>
    <row r="122" spans="8:8" x14ac:dyDescent="0.25">
      <c r="H122" t="s">
        <v>1225</v>
      </c>
    </row>
    <row r="123" spans="8:8" x14ac:dyDescent="0.25">
      <c r="H123" t="s">
        <v>1226</v>
      </c>
    </row>
    <row r="124" spans="8:8" x14ac:dyDescent="0.25">
      <c r="H124" t="s">
        <v>1227</v>
      </c>
    </row>
    <row r="125" spans="8:8" x14ac:dyDescent="0.25">
      <c r="H125" t="s">
        <v>1228</v>
      </c>
    </row>
    <row r="126" spans="8:8" x14ac:dyDescent="0.25">
      <c r="H126" t="s">
        <v>1229</v>
      </c>
    </row>
    <row r="127" spans="8:8" x14ac:dyDescent="0.25">
      <c r="H127" t="s">
        <v>1230</v>
      </c>
    </row>
    <row r="128" spans="8:8" x14ac:dyDescent="0.25">
      <c r="H128" t="s">
        <v>1231</v>
      </c>
    </row>
    <row r="129" spans="8:8" x14ac:dyDescent="0.25">
      <c r="H129" t="s">
        <v>1232</v>
      </c>
    </row>
    <row r="130" spans="8:8" x14ac:dyDescent="0.25">
      <c r="H130" t="s">
        <v>1233</v>
      </c>
    </row>
    <row r="131" spans="8:8" x14ac:dyDescent="0.25">
      <c r="H131" t="s">
        <v>1234</v>
      </c>
    </row>
    <row r="132" spans="8:8" x14ac:dyDescent="0.25">
      <c r="H132" t="s">
        <v>1235</v>
      </c>
    </row>
    <row r="133" spans="8:8" x14ac:dyDescent="0.25">
      <c r="H133" t="s">
        <v>1236</v>
      </c>
    </row>
    <row r="134" spans="8:8" x14ac:dyDescent="0.25">
      <c r="H134" t="s">
        <v>1237</v>
      </c>
    </row>
    <row r="135" spans="8:8" x14ac:dyDescent="0.25">
      <c r="H135" t="s">
        <v>1238</v>
      </c>
    </row>
    <row r="136" spans="8:8" x14ac:dyDescent="0.25">
      <c r="H136" t="s">
        <v>1239</v>
      </c>
    </row>
    <row r="137" spans="8:8" x14ac:dyDescent="0.25">
      <c r="H137" t="s">
        <v>1240</v>
      </c>
    </row>
    <row r="138" spans="8:8" x14ac:dyDescent="0.25">
      <c r="H138" t="s">
        <v>1241</v>
      </c>
    </row>
    <row r="139" spans="8:8" x14ac:dyDescent="0.25">
      <c r="H139" t="s">
        <v>1242</v>
      </c>
    </row>
    <row r="140" spans="8:8" x14ac:dyDescent="0.25">
      <c r="H140" t="s">
        <v>1243</v>
      </c>
    </row>
    <row r="141" spans="8:8" x14ac:dyDescent="0.25">
      <c r="H141" t="s">
        <v>1244</v>
      </c>
    </row>
    <row r="142" spans="8:8" x14ac:dyDescent="0.25">
      <c r="H142" t="s">
        <v>27</v>
      </c>
    </row>
    <row r="143" spans="8:8" x14ac:dyDescent="0.25">
      <c r="H143" t="s">
        <v>28</v>
      </c>
    </row>
    <row r="144" spans="8:8" x14ac:dyDescent="0.25">
      <c r="H144" t="s">
        <v>1245</v>
      </c>
    </row>
    <row r="145" spans="8:8" x14ac:dyDescent="0.25">
      <c r="H145" t="s">
        <v>29</v>
      </c>
    </row>
    <row r="146" spans="8:8" x14ac:dyDescent="0.25">
      <c r="H146" t="s">
        <v>1246</v>
      </c>
    </row>
    <row r="147" spans="8:8" x14ac:dyDescent="0.25">
      <c r="H147" t="s">
        <v>1247</v>
      </c>
    </row>
    <row r="148" spans="8:8" x14ac:dyDescent="0.25">
      <c r="H148" t="s">
        <v>1248</v>
      </c>
    </row>
    <row r="149" spans="8:8" x14ac:dyDescent="0.25">
      <c r="H149" t="s">
        <v>1249</v>
      </c>
    </row>
    <row r="150" spans="8:8" x14ac:dyDescent="0.25">
      <c r="H150" t="s">
        <v>1250</v>
      </c>
    </row>
    <row r="151" spans="8:8" x14ac:dyDescent="0.25">
      <c r="H151" t="s">
        <v>1251</v>
      </c>
    </row>
    <row r="152" spans="8:8" x14ac:dyDescent="0.25">
      <c r="H152" t="s">
        <v>1252</v>
      </c>
    </row>
    <row r="153" spans="8:8" x14ac:dyDescent="0.25">
      <c r="H153" t="s">
        <v>1253</v>
      </c>
    </row>
    <row r="154" spans="8:8" x14ac:dyDescent="0.25">
      <c r="H154" t="s">
        <v>1254</v>
      </c>
    </row>
    <row r="155" spans="8:8" x14ac:dyDescent="0.25">
      <c r="H155" t="s">
        <v>1255</v>
      </c>
    </row>
    <row r="156" spans="8:8" x14ac:dyDescent="0.25">
      <c r="H156" t="s">
        <v>1256</v>
      </c>
    </row>
    <row r="157" spans="8:8" x14ac:dyDescent="0.25">
      <c r="H157" t="s">
        <v>1257</v>
      </c>
    </row>
    <row r="158" spans="8:8" x14ac:dyDescent="0.25">
      <c r="H158" t="s">
        <v>30</v>
      </c>
    </row>
    <row r="159" spans="8:8" x14ac:dyDescent="0.25">
      <c r="H159" t="s">
        <v>1258</v>
      </c>
    </row>
    <row r="160" spans="8:8" x14ac:dyDescent="0.25">
      <c r="H160" t="s">
        <v>1259</v>
      </c>
    </row>
    <row r="161" spans="8:8" x14ac:dyDescent="0.25">
      <c r="H161" t="s">
        <v>1260</v>
      </c>
    </row>
    <row r="162" spans="8:8" x14ac:dyDescent="0.25">
      <c r="H162" t="s">
        <v>1261</v>
      </c>
    </row>
    <row r="163" spans="8:8" x14ac:dyDescent="0.25">
      <c r="H163" t="s">
        <v>1262</v>
      </c>
    </row>
    <row r="164" spans="8:8" x14ac:dyDescent="0.25">
      <c r="H164" t="s">
        <v>1263</v>
      </c>
    </row>
    <row r="165" spans="8:8" x14ac:dyDescent="0.25">
      <c r="H165" t="s">
        <v>31</v>
      </c>
    </row>
    <row r="166" spans="8:8" x14ac:dyDescent="0.25">
      <c r="H166" t="s">
        <v>1264</v>
      </c>
    </row>
    <row r="167" spans="8:8" x14ac:dyDescent="0.25">
      <c r="H167" t="s">
        <v>1265</v>
      </c>
    </row>
    <row r="168" spans="8:8" x14ac:dyDescent="0.25">
      <c r="H168" t="s">
        <v>1266</v>
      </c>
    </row>
    <row r="169" spans="8:8" x14ac:dyDescent="0.25">
      <c r="H169" t="s">
        <v>1267</v>
      </c>
    </row>
    <row r="170" spans="8:8" x14ac:dyDescent="0.25">
      <c r="H170" t="s">
        <v>1268</v>
      </c>
    </row>
    <row r="171" spans="8:8" x14ac:dyDescent="0.25">
      <c r="H171" t="s">
        <v>1269</v>
      </c>
    </row>
    <row r="172" spans="8:8" x14ac:dyDescent="0.25">
      <c r="H172" t="s">
        <v>1270</v>
      </c>
    </row>
    <row r="173" spans="8:8" x14ac:dyDescent="0.25">
      <c r="H173" t="s">
        <v>1271</v>
      </c>
    </row>
    <row r="174" spans="8:8" x14ac:dyDescent="0.25">
      <c r="H174" t="s">
        <v>1272</v>
      </c>
    </row>
    <row r="175" spans="8:8" x14ac:dyDescent="0.25">
      <c r="H175" t="s">
        <v>1273</v>
      </c>
    </row>
    <row r="176" spans="8:8" x14ac:dyDescent="0.25">
      <c r="H176" t="s">
        <v>1274</v>
      </c>
    </row>
    <row r="177" spans="8:8" x14ac:dyDescent="0.25">
      <c r="H177" t="s">
        <v>1275</v>
      </c>
    </row>
    <row r="178" spans="8:8" x14ac:dyDescent="0.25">
      <c r="H178" t="s">
        <v>90</v>
      </c>
    </row>
    <row r="179" spans="8:8" x14ac:dyDescent="0.25">
      <c r="H179" t="s">
        <v>1276</v>
      </c>
    </row>
    <row r="180" spans="8:8" x14ac:dyDescent="0.25">
      <c r="H180" t="s">
        <v>1277</v>
      </c>
    </row>
    <row r="181" spans="8:8" x14ac:dyDescent="0.25">
      <c r="H181" t="s">
        <v>1278</v>
      </c>
    </row>
    <row r="182" spans="8:8" x14ac:dyDescent="0.25">
      <c r="H182" t="s">
        <v>1279</v>
      </c>
    </row>
    <row r="183" spans="8:8" x14ac:dyDescent="0.25">
      <c r="H183" t="s">
        <v>1280</v>
      </c>
    </row>
    <row r="184" spans="8:8" x14ac:dyDescent="0.25">
      <c r="H184" t="s">
        <v>1281</v>
      </c>
    </row>
    <row r="185" spans="8:8" x14ac:dyDescent="0.25">
      <c r="H185" t="s">
        <v>1282</v>
      </c>
    </row>
    <row r="186" spans="8:8" x14ac:dyDescent="0.25">
      <c r="H186" t="s">
        <v>1283</v>
      </c>
    </row>
    <row r="187" spans="8:8" x14ac:dyDescent="0.25">
      <c r="H187" t="s">
        <v>1284</v>
      </c>
    </row>
    <row r="188" spans="8:8" x14ac:dyDescent="0.25">
      <c r="H188" t="s">
        <v>32</v>
      </c>
    </row>
    <row r="189" spans="8:8" x14ac:dyDescent="0.25">
      <c r="H189" t="s">
        <v>1285</v>
      </c>
    </row>
    <row r="190" spans="8:8" x14ac:dyDescent="0.25">
      <c r="H190" t="s">
        <v>1286</v>
      </c>
    </row>
    <row r="191" spans="8:8" x14ac:dyDescent="0.25">
      <c r="H191" t="s">
        <v>1287</v>
      </c>
    </row>
    <row r="192" spans="8:8" x14ac:dyDescent="0.25">
      <c r="H192" t="s">
        <v>1288</v>
      </c>
    </row>
    <row r="193" spans="8:8" x14ac:dyDescent="0.25">
      <c r="H193" t="s">
        <v>1289</v>
      </c>
    </row>
    <row r="194" spans="8:8" x14ac:dyDescent="0.25">
      <c r="H194" t="s">
        <v>1290</v>
      </c>
    </row>
    <row r="195" spans="8:8" x14ac:dyDescent="0.25">
      <c r="H195" t="s">
        <v>1291</v>
      </c>
    </row>
    <row r="196" spans="8:8" x14ac:dyDescent="0.25">
      <c r="H196" t="s">
        <v>33</v>
      </c>
    </row>
    <row r="197" spans="8:8" x14ac:dyDescent="0.25">
      <c r="H197" t="s">
        <v>1292</v>
      </c>
    </row>
    <row r="198" spans="8:8" x14ac:dyDescent="0.25">
      <c r="H198" t="s">
        <v>1293</v>
      </c>
    </row>
    <row r="199" spans="8:8" x14ac:dyDescent="0.25">
      <c r="H199" t="s">
        <v>1294</v>
      </c>
    </row>
    <row r="200" spans="8:8" x14ac:dyDescent="0.25">
      <c r="H200" t="s">
        <v>1295</v>
      </c>
    </row>
    <row r="201" spans="8:8" x14ac:dyDescent="0.25">
      <c r="H201" t="s">
        <v>1296</v>
      </c>
    </row>
    <row r="202" spans="8:8" x14ac:dyDescent="0.25">
      <c r="H202" t="s">
        <v>1297</v>
      </c>
    </row>
    <row r="203" spans="8:8" x14ac:dyDescent="0.25">
      <c r="H203" t="s">
        <v>1298</v>
      </c>
    </row>
    <row r="204" spans="8:8" x14ac:dyDescent="0.25">
      <c r="H204" t="s">
        <v>1299</v>
      </c>
    </row>
    <row r="205" spans="8:8" x14ac:dyDescent="0.25">
      <c r="H205" t="s">
        <v>1300</v>
      </c>
    </row>
    <row r="206" spans="8:8" x14ac:dyDescent="0.25">
      <c r="H206" t="s">
        <v>1301</v>
      </c>
    </row>
    <row r="207" spans="8:8" x14ac:dyDescent="0.25">
      <c r="H207" t="s">
        <v>1302</v>
      </c>
    </row>
    <row r="208" spans="8:8" x14ac:dyDescent="0.25">
      <c r="H208" t="s">
        <v>1303</v>
      </c>
    </row>
    <row r="209" spans="8:8" x14ac:dyDescent="0.25">
      <c r="H209" t="s">
        <v>1304</v>
      </c>
    </row>
    <row r="210" spans="8:8" x14ac:dyDescent="0.25">
      <c r="H210" t="s">
        <v>1305</v>
      </c>
    </row>
    <row r="211" spans="8:8" x14ac:dyDescent="0.25">
      <c r="H211" t="s">
        <v>1306</v>
      </c>
    </row>
    <row r="212" spans="8:8" x14ac:dyDescent="0.25">
      <c r="H212" t="s">
        <v>1307</v>
      </c>
    </row>
    <row r="213" spans="8:8" x14ac:dyDescent="0.25">
      <c r="H213" t="s">
        <v>1308</v>
      </c>
    </row>
    <row r="214" spans="8:8" x14ac:dyDescent="0.25">
      <c r="H214" t="s">
        <v>91</v>
      </c>
    </row>
    <row r="215" spans="8:8" x14ac:dyDescent="0.25">
      <c r="H215" t="s">
        <v>34</v>
      </c>
    </row>
    <row r="216" spans="8:8" x14ac:dyDescent="0.25">
      <c r="H216" t="s">
        <v>1309</v>
      </c>
    </row>
    <row r="217" spans="8:8" x14ac:dyDescent="0.25">
      <c r="H217" t="s">
        <v>1310</v>
      </c>
    </row>
    <row r="218" spans="8:8" x14ac:dyDescent="0.25">
      <c r="H218" t="s">
        <v>92</v>
      </c>
    </row>
    <row r="219" spans="8:8" x14ac:dyDescent="0.25">
      <c r="H219" t="s">
        <v>1311</v>
      </c>
    </row>
    <row r="220" spans="8:8" x14ac:dyDescent="0.25">
      <c r="H220" t="s">
        <v>35</v>
      </c>
    </row>
    <row r="221" spans="8:8" x14ac:dyDescent="0.25">
      <c r="H221" t="s">
        <v>36</v>
      </c>
    </row>
    <row r="222" spans="8:8" x14ac:dyDescent="0.25">
      <c r="H222" t="s">
        <v>93</v>
      </c>
    </row>
    <row r="223" spans="8:8" x14ac:dyDescent="0.25">
      <c r="H223" t="s">
        <v>1312</v>
      </c>
    </row>
    <row r="224" spans="8:8" x14ac:dyDescent="0.25">
      <c r="H224" t="s">
        <v>94</v>
      </c>
    </row>
    <row r="225" spans="8:8" x14ac:dyDescent="0.25">
      <c r="H225" t="s">
        <v>37</v>
      </c>
    </row>
    <row r="226" spans="8:8" x14ac:dyDescent="0.25">
      <c r="H226" t="s">
        <v>1313</v>
      </c>
    </row>
    <row r="227" spans="8:8" x14ac:dyDescent="0.25">
      <c r="H227" t="s">
        <v>95</v>
      </c>
    </row>
    <row r="228" spans="8:8" x14ac:dyDescent="0.25">
      <c r="H228" t="s">
        <v>38</v>
      </c>
    </row>
    <row r="229" spans="8:8" x14ac:dyDescent="0.25">
      <c r="H229" t="s">
        <v>1314</v>
      </c>
    </row>
    <row r="230" spans="8:8" x14ac:dyDescent="0.25">
      <c r="H230" t="s">
        <v>1315</v>
      </c>
    </row>
    <row r="231" spans="8:8" x14ac:dyDescent="0.25">
      <c r="H231" t="s">
        <v>1316</v>
      </c>
    </row>
    <row r="232" spans="8:8" x14ac:dyDescent="0.25">
      <c r="H232" t="s">
        <v>1317</v>
      </c>
    </row>
    <row r="233" spans="8:8" x14ac:dyDescent="0.25">
      <c r="H233" t="s">
        <v>1318</v>
      </c>
    </row>
    <row r="234" spans="8:8" x14ac:dyDescent="0.25">
      <c r="H234" t="s">
        <v>1319</v>
      </c>
    </row>
    <row r="235" spans="8:8" x14ac:dyDescent="0.25">
      <c r="H235" t="s">
        <v>1320</v>
      </c>
    </row>
    <row r="236" spans="8:8" x14ac:dyDescent="0.25">
      <c r="H236" t="s">
        <v>1321</v>
      </c>
    </row>
    <row r="237" spans="8:8" x14ac:dyDescent="0.25">
      <c r="H237" t="s">
        <v>1322</v>
      </c>
    </row>
    <row r="238" spans="8:8" x14ac:dyDescent="0.25">
      <c r="H238" t="s">
        <v>1323</v>
      </c>
    </row>
    <row r="239" spans="8:8" x14ac:dyDescent="0.25">
      <c r="H239" t="s">
        <v>1324</v>
      </c>
    </row>
    <row r="240" spans="8:8" x14ac:dyDescent="0.25">
      <c r="H240" t="s">
        <v>1325</v>
      </c>
    </row>
    <row r="241" spans="8:8" x14ac:dyDescent="0.25">
      <c r="H241" t="s">
        <v>1326</v>
      </c>
    </row>
    <row r="242" spans="8:8" x14ac:dyDescent="0.25">
      <c r="H242" t="s">
        <v>1327</v>
      </c>
    </row>
    <row r="243" spans="8:8" x14ac:dyDescent="0.25">
      <c r="H243" t="s">
        <v>1328</v>
      </c>
    </row>
    <row r="244" spans="8:8" x14ac:dyDescent="0.25">
      <c r="H244" t="s">
        <v>1329</v>
      </c>
    </row>
    <row r="245" spans="8:8" x14ac:dyDescent="0.25">
      <c r="H245" t="s">
        <v>39</v>
      </c>
    </row>
    <row r="246" spans="8:8" x14ac:dyDescent="0.25">
      <c r="H246" t="s">
        <v>1330</v>
      </c>
    </row>
    <row r="247" spans="8:8" x14ac:dyDescent="0.25">
      <c r="H247" t="s">
        <v>1331</v>
      </c>
    </row>
    <row r="248" spans="8:8" x14ac:dyDescent="0.25">
      <c r="H248" t="s">
        <v>1332</v>
      </c>
    </row>
    <row r="249" spans="8:8" x14ac:dyDescent="0.25">
      <c r="H249" t="s">
        <v>1333</v>
      </c>
    </row>
    <row r="250" spans="8:8" x14ac:dyDescent="0.25">
      <c r="H250" t="s">
        <v>1334</v>
      </c>
    </row>
    <row r="251" spans="8:8" x14ac:dyDescent="0.25">
      <c r="H251" t="s">
        <v>1335</v>
      </c>
    </row>
    <row r="252" spans="8:8" x14ac:dyDescent="0.25">
      <c r="H252" t="s">
        <v>40</v>
      </c>
    </row>
    <row r="253" spans="8:8" x14ac:dyDescent="0.25">
      <c r="H253" t="s">
        <v>1336</v>
      </c>
    </row>
    <row r="254" spans="8:8" x14ac:dyDescent="0.25">
      <c r="H254" t="s">
        <v>1337</v>
      </c>
    </row>
    <row r="255" spans="8:8" x14ac:dyDescent="0.25">
      <c r="H255" t="s">
        <v>1338</v>
      </c>
    </row>
    <row r="256" spans="8:8" x14ac:dyDescent="0.25">
      <c r="H256" t="s">
        <v>1339</v>
      </c>
    </row>
    <row r="257" spans="8:8" x14ac:dyDescent="0.25">
      <c r="H257" t="s">
        <v>1340</v>
      </c>
    </row>
    <row r="258" spans="8:8" x14ac:dyDescent="0.25">
      <c r="H258" t="s">
        <v>1341</v>
      </c>
    </row>
    <row r="259" spans="8:8" x14ac:dyDescent="0.25">
      <c r="H259" t="s">
        <v>1342</v>
      </c>
    </row>
    <row r="260" spans="8:8" x14ac:dyDescent="0.25">
      <c r="H260" t="s">
        <v>41</v>
      </c>
    </row>
    <row r="261" spans="8:8" x14ac:dyDescent="0.25">
      <c r="H261" t="s">
        <v>1343</v>
      </c>
    </row>
    <row r="262" spans="8:8" x14ac:dyDescent="0.25">
      <c r="H262" t="s">
        <v>42</v>
      </c>
    </row>
    <row r="263" spans="8:8" x14ac:dyDescent="0.25">
      <c r="H263" t="s">
        <v>1344</v>
      </c>
    </row>
    <row r="264" spans="8:8" x14ac:dyDescent="0.25">
      <c r="H264" t="s">
        <v>1345</v>
      </c>
    </row>
    <row r="265" spans="8:8" x14ac:dyDescent="0.25">
      <c r="H265" t="s">
        <v>1346</v>
      </c>
    </row>
    <row r="266" spans="8:8" x14ac:dyDescent="0.25">
      <c r="H266" t="s">
        <v>1347</v>
      </c>
    </row>
    <row r="267" spans="8:8" x14ac:dyDescent="0.25">
      <c r="H267" t="s">
        <v>1348</v>
      </c>
    </row>
    <row r="268" spans="8:8" x14ac:dyDescent="0.25">
      <c r="H268" t="s">
        <v>96</v>
      </c>
    </row>
    <row r="269" spans="8:8" x14ac:dyDescent="0.25">
      <c r="H269" t="s">
        <v>97</v>
      </c>
    </row>
    <row r="270" spans="8:8" x14ac:dyDescent="0.25">
      <c r="H270" t="s">
        <v>1349</v>
      </c>
    </row>
    <row r="271" spans="8:8" x14ac:dyDescent="0.25">
      <c r="H271" t="s">
        <v>1350</v>
      </c>
    </row>
    <row r="272" spans="8:8" x14ac:dyDescent="0.25">
      <c r="H272" t="s">
        <v>1351</v>
      </c>
    </row>
    <row r="273" spans="8:8" x14ac:dyDescent="0.25">
      <c r="H273" t="s">
        <v>1352</v>
      </c>
    </row>
    <row r="274" spans="8:8" x14ac:dyDescent="0.25">
      <c r="H274" t="s">
        <v>1353</v>
      </c>
    </row>
    <row r="275" spans="8:8" x14ac:dyDescent="0.25">
      <c r="H275" t="s">
        <v>1354</v>
      </c>
    </row>
    <row r="276" spans="8:8" x14ac:dyDescent="0.25">
      <c r="H276" t="s">
        <v>1355</v>
      </c>
    </row>
    <row r="277" spans="8:8" x14ac:dyDescent="0.25">
      <c r="H277" t="s">
        <v>43</v>
      </c>
    </row>
    <row r="278" spans="8:8" x14ac:dyDescent="0.25">
      <c r="H278" t="s">
        <v>1356</v>
      </c>
    </row>
    <row r="279" spans="8:8" x14ac:dyDescent="0.25">
      <c r="H279" t="s">
        <v>98</v>
      </c>
    </row>
    <row r="280" spans="8:8" x14ac:dyDescent="0.25">
      <c r="H280" t="s">
        <v>1357</v>
      </c>
    </row>
    <row r="281" spans="8:8" x14ac:dyDescent="0.25">
      <c r="H281" t="s">
        <v>1358</v>
      </c>
    </row>
    <row r="282" spans="8:8" x14ac:dyDescent="0.25">
      <c r="H282" t="s">
        <v>1359</v>
      </c>
    </row>
    <row r="283" spans="8:8" x14ac:dyDescent="0.25">
      <c r="H283" t="s">
        <v>1360</v>
      </c>
    </row>
    <row r="284" spans="8:8" x14ac:dyDescent="0.25">
      <c r="H284" t="s">
        <v>1361</v>
      </c>
    </row>
    <row r="285" spans="8:8" x14ac:dyDescent="0.25">
      <c r="H285" t="s">
        <v>1362</v>
      </c>
    </row>
    <row r="286" spans="8:8" x14ac:dyDescent="0.25">
      <c r="H286" t="s">
        <v>1363</v>
      </c>
    </row>
    <row r="287" spans="8:8" x14ac:dyDescent="0.25">
      <c r="H287" t="s">
        <v>1364</v>
      </c>
    </row>
    <row r="288" spans="8:8" x14ac:dyDescent="0.25">
      <c r="H288" t="s">
        <v>1365</v>
      </c>
    </row>
    <row r="289" spans="8:8" x14ac:dyDescent="0.25">
      <c r="H289" t="s">
        <v>1366</v>
      </c>
    </row>
    <row r="290" spans="8:8" x14ac:dyDescent="0.25">
      <c r="H290" t="s">
        <v>1367</v>
      </c>
    </row>
    <row r="291" spans="8:8" x14ac:dyDescent="0.25">
      <c r="H291" t="s">
        <v>1368</v>
      </c>
    </row>
    <row r="292" spans="8:8" x14ac:dyDescent="0.25">
      <c r="H292" t="s">
        <v>1369</v>
      </c>
    </row>
    <row r="293" spans="8:8" x14ac:dyDescent="0.25">
      <c r="H293" t="s">
        <v>1370</v>
      </c>
    </row>
    <row r="294" spans="8:8" x14ac:dyDescent="0.25">
      <c r="H294" t="s">
        <v>1371</v>
      </c>
    </row>
    <row r="295" spans="8:8" x14ac:dyDescent="0.25">
      <c r="H295" t="s">
        <v>44</v>
      </c>
    </row>
    <row r="296" spans="8:8" x14ac:dyDescent="0.25">
      <c r="H296" t="s">
        <v>1372</v>
      </c>
    </row>
    <row r="297" spans="8:8" x14ac:dyDescent="0.25">
      <c r="H297" t="s">
        <v>45</v>
      </c>
    </row>
    <row r="298" spans="8:8" x14ac:dyDescent="0.25">
      <c r="H298" t="s">
        <v>1373</v>
      </c>
    </row>
    <row r="299" spans="8:8" x14ac:dyDescent="0.25">
      <c r="H299" t="s">
        <v>1374</v>
      </c>
    </row>
    <row r="300" spans="8:8" x14ac:dyDescent="0.25">
      <c r="H300" t="s">
        <v>1375</v>
      </c>
    </row>
    <row r="301" spans="8:8" x14ac:dyDescent="0.25">
      <c r="H301" t="s">
        <v>1376</v>
      </c>
    </row>
    <row r="302" spans="8:8" x14ac:dyDescent="0.25">
      <c r="H302" t="s">
        <v>46</v>
      </c>
    </row>
    <row r="303" spans="8:8" x14ac:dyDescent="0.25">
      <c r="H303" t="s">
        <v>47</v>
      </c>
    </row>
    <row r="304" spans="8:8" x14ac:dyDescent="0.25">
      <c r="H304" t="s">
        <v>1377</v>
      </c>
    </row>
    <row r="305" spans="8:8" x14ac:dyDescent="0.25">
      <c r="H305" t="s">
        <v>1378</v>
      </c>
    </row>
    <row r="306" spans="8:8" x14ac:dyDescent="0.25">
      <c r="H306" t="s">
        <v>1379</v>
      </c>
    </row>
    <row r="307" spans="8:8" x14ac:dyDescent="0.25">
      <c r="H307" t="s">
        <v>1380</v>
      </c>
    </row>
    <row r="308" spans="8:8" x14ac:dyDescent="0.25">
      <c r="H308" t="s">
        <v>1381</v>
      </c>
    </row>
    <row r="309" spans="8:8" x14ac:dyDescent="0.25">
      <c r="H309" t="s">
        <v>1382</v>
      </c>
    </row>
    <row r="310" spans="8:8" x14ac:dyDescent="0.25">
      <c r="H310" t="s">
        <v>1383</v>
      </c>
    </row>
    <row r="311" spans="8:8" x14ac:dyDescent="0.25">
      <c r="H311" t="s">
        <v>1384</v>
      </c>
    </row>
    <row r="312" spans="8:8" x14ac:dyDescent="0.25">
      <c r="H312" t="s">
        <v>99</v>
      </c>
    </row>
    <row r="313" spans="8:8" x14ac:dyDescent="0.25">
      <c r="H313" t="s">
        <v>1385</v>
      </c>
    </row>
    <row r="314" spans="8:8" x14ac:dyDescent="0.25">
      <c r="H314" t="s">
        <v>1386</v>
      </c>
    </row>
    <row r="315" spans="8:8" x14ac:dyDescent="0.25">
      <c r="H315" t="s">
        <v>1387</v>
      </c>
    </row>
    <row r="316" spans="8:8" x14ac:dyDescent="0.25">
      <c r="H316" t="s">
        <v>48</v>
      </c>
    </row>
    <row r="317" spans="8:8" x14ac:dyDescent="0.25">
      <c r="H317" t="s">
        <v>1388</v>
      </c>
    </row>
    <row r="318" spans="8:8" x14ac:dyDescent="0.25">
      <c r="H318" t="s">
        <v>1389</v>
      </c>
    </row>
    <row r="319" spans="8:8" x14ac:dyDescent="0.25">
      <c r="H319" t="s">
        <v>1390</v>
      </c>
    </row>
    <row r="320" spans="8:8" x14ac:dyDescent="0.25">
      <c r="H320" t="s">
        <v>1391</v>
      </c>
    </row>
    <row r="321" spans="8:8" x14ac:dyDescent="0.25">
      <c r="H321" t="s">
        <v>49</v>
      </c>
    </row>
    <row r="322" spans="8:8" x14ac:dyDescent="0.25">
      <c r="H322" t="s">
        <v>1392</v>
      </c>
    </row>
    <row r="323" spans="8:8" x14ac:dyDescent="0.25">
      <c r="H323" t="s">
        <v>1393</v>
      </c>
    </row>
    <row r="324" spans="8:8" x14ac:dyDescent="0.25">
      <c r="H324" t="s">
        <v>1394</v>
      </c>
    </row>
    <row r="325" spans="8:8" x14ac:dyDescent="0.25">
      <c r="H325" t="s">
        <v>1395</v>
      </c>
    </row>
    <row r="326" spans="8:8" x14ac:dyDescent="0.25">
      <c r="H326" t="s">
        <v>1396</v>
      </c>
    </row>
    <row r="327" spans="8:8" x14ac:dyDescent="0.25">
      <c r="H327" t="s">
        <v>1397</v>
      </c>
    </row>
    <row r="328" spans="8:8" x14ac:dyDescent="0.25">
      <c r="H328" t="s">
        <v>1398</v>
      </c>
    </row>
    <row r="329" spans="8:8" x14ac:dyDescent="0.25">
      <c r="H329" t="s">
        <v>1399</v>
      </c>
    </row>
    <row r="330" spans="8:8" x14ac:dyDescent="0.25">
      <c r="H330" t="s">
        <v>85</v>
      </c>
    </row>
    <row r="331" spans="8:8" x14ac:dyDescent="0.25">
      <c r="H331" t="s">
        <v>50</v>
      </c>
    </row>
    <row r="332" spans="8:8" x14ac:dyDescent="0.25">
      <c r="H332" t="s">
        <v>1400</v>
      </c>
    </row>
    <row r="333" spans="8:8" x14ac:dyDescent="0.25">
      <c r="H333" t="s">
        <v>51</v>
      </c>
    </row>
    <row r="334" spans="8:8" x14ac:dyDescent="0.25">
      <c r="H334" t="s">
        <v>1401</v>
      </c>
    </row>
    <row r="335" spans="8:8" x14ac:dyDescent="0.25">
      <c r="H335" t="s">
        <v>1402</v>
      </c>
    </row>
    <row r="336" spans="8:8" x14ac:dyDescent="0.25">
      <c r="H336" t="s">
        <v>1403</v>
      </c>
    </row>
    <row r="337" spans="8:8" x14ac:dyDescent="0.25">
      <c r="H337" t="s">
        <v>1404</v>
      </c>
    </row>
    <row r="338" spans="8:8" x14ac:dyDescent="0.25">
      <c r="H338" t="s">
        <v>1405</v>
      </c>
    </row>
    <row r="339" spans="8:8" x14ac:dyDescent="0.25">
      <c r="H339" t="s">
        <v>1406</v>
      </c>
    </row>
    <row r="340" spans="8:8" x14ac:dyDescent="0.25">
      <c r="H340" t="s">
        <v>1407</v>
      </c>
    </row>
    <row r="341" spans="8:8" x14ac:dyDescent="0.25">
      <c r="H341" t="s">
        <v>1408</v>
      </c>
    </row>
    <row r="342" spans="8:8" x14ac:dyDescent="0.25">
      <c r="H342" t="s">
        <v>1409</v>
      </c>
    </row>
    <row r="343" spans="8:8" x14ac:dyDescent="0.25">
      <c r="H343" t="s">
        <v>1410</v>
      </c>
    </row>
    <row r="344" spans="8:8" x14ac:dyDescent="0.25">
      <c r="H344" t="s">
        <v>52</v>
      </c>
    </row>
    <row r="345" spans="8:8" x14ac:dyDescent="0.25">
      <c r="H345" t="s">
        <v>1411</v>
      </c>
    </row>
    <row r="346" spans="8:8" x14ac:dyDescent="0.25">
      <c r="H346" t="s">
        <v>1412</v>
      </c>
    </row>
    <row r="347" spans="8:8" x14ac:dyDescent="0.25">
      <c r="H347" t="s">
        <v>1413</v>
      </c>
    </row>
    <row r="348" spans="8:8" x14ac:dyDescent="0.25">
      <c r="H348" t="s">
        <v>1414</v>
      </c>
    </row>
    <row r="349" spans="8:8" x14ac:dyDescent="0.25">
      <c r="H349" t="s">
        <v>1415</v>
      </c>
    </row>
    <row r="350" spans="8:8" x14ac:dyDescent="0.25">
      <c r="H350" t="s">
        <v>1416</v>
      </c>
    </row>
    <row r="351" spans="8:8" x14ac:dyDescent="0.25">
      <c r="H351" t="s">
        <v>1417</v>
      </c>
    </row>
    <row r="352" spans="8:8" x14ac:dyDescent="0.25">
      <c r="H352" t="s">
        <v>53</v>
      </c>
    </row>
    <row r="353" spans="8:8" x14ac:dyDescent="0.25">
      <c r="H353" t="s">
        <v>86</v>
      </c>
    </row>
    <row r="354" spans="8:8" x14ac:dyDescent="0.25">
      <c r="H354" t="s">
        <v>1418</v>
      </c>
    </row>
    <row r="355" spans="8:8" x14ac:dyDescent="0.25">
      <c r="H355" t="s">
        <v>1419</v>
      </c>
    </row>
    <row r="356" spans="8:8" x14ac:dyDescent="0.25">
      <c r="H356" t="s">
        <v>1420</v>
      </c>
    </row>
    <row r="357" spans="8:8" x14ac:dyDescent="0.25">
      <c r="H357" t="s">
        <v>1421</v>
      </c>
    </row>
    <row r="358" spans="8:8" x14ac:dyDescent="0.25">
      <c r="H358" t="s">
        <v>1422</v>
      </c>
    </row>
    <row r="359" spans="8:8" x14ac:dyDescent="0.25">
      <c r="H359" t="s">
        <v>1423</v>
      </c>
    </row>
    <row r="360" spans="8:8" x14ac:dyDescent="0.25">
      <c r="H360" t="s">
        <v>1424</v>
      </c>
    </row>
    <row r="361" spans="8:8" x14ac:dyDescent="0.25">
      <c r="H361" t="s">
        <v>1425</v>
      </c>
    </row>
    <row r="362" spans="8:8" x14ac:dyDescent="0.25">
      <c r="H362" t="s">
        <v>1426</v>
      </c>
    </row>
    <row r="363" spans="8:8" x14ac:dyDescent="0.25">
      <c r="H363" t="s">
        <v>1427</v>
      </c>
    </row>
    <row r="364" spans="8:8" x14ac:dyDescent="0.25">
      <c r="H364" t="s">
        <v>54</v>
      </c>
    </row>
    <row r="365" spans="8:8" x14ac:dyDescent="0.25">
      <c r="H365" t="s">
        <v>1428</v>
      </c>
    </row>
    <row r="366" spans="8:8" x14ac:dyDescent="0.25">
      <c r="H366" t="s">
        <v>1429</v>
      </c>
    </row>
    <row r="367" spans="8:8" x14ac:dyDescent="0.25">
      <c r="H367" t="s">
        <v>1430</v>
      </c>
    </row>
    <row r="368" spans="8:8" x14ac:dyDescent="0.25">
      <c r="H368" t="s">
        <v>1431</v>
      </c>
    </row>
    <row r="369" spans="8:8" x14ac:dyDescent="0.25">
      <c r="H369" t="s">
        <v>1432</v>
      </c>
    </row>
    <row r="370" spans="8:8" x14ac:dyDescent="0.25">
      <c r="H370" t="s">
        <v>1433</v>
      </c>
    </row>
    <row r="371" spans="8:8" x14ac:dyDescent="0.25">
      <c r="H371" t="s">
        <v>55</v>
      </c>
    </row>
    <row r="372" spans="8:8" x14ac:dyDescent="0.25">
      <c r="H372" t="s">
        <v>56</v>
      </c>
    </row>
    <row r="373" spans="8:8" x14ac:dyDescent="0.25">
      <c r="H373" t="s">
        <v>1434</v>
      </c>
    </row>
    <row r="374" spans="8:8" x14ac:dyDescent="0.25">
      <c r="H374" t="s">
        <v>57</v>
      </c>
    </row>
    <row r="375" spans="8:8" x14ac:dyDescent="0.25">
      <c r="H375" t="s">
        <v>1435</v>
      </c>
    </row>
    <row r="376" spans="8:8" x14ac:dyDescent="0.25">
      <c r="H376" t="s">
        <v>1436</v>
      </c>
    </row>
    <row r="377" spans="8:8" x14ac:dyDescent="0.25">
      <c r="H377" t="s">
        <v>1437</v>
      </c>
    </row>
    <row r="378" spans="8:8" x14ac:dyDescent="0.25">
      <c r="H378" t="s">
        <v>58</v>
      </c>
    </row>
    <row r="379" spans="8:8" x14ac:dyDescent="0.25">
      <c r="H379" t="s">
        <v>1438</v>
      </c>
    </row>
    <row r="380" spans="8:8" x14ac:dyDescent="0.25">
      <c r="H380" t="s">
        <v>1439</v>
      </c>
    </row>
    <row r="381" spans="8:8" x14ac:dyDescent="0.25">
      <c r="H381" t="s">
        <v>1440</v>
      </c>
    </row>
    <row r="382" spans="8:8" x14ac:dyDescent="0.25">
      <c r="H382" t="s">
        <v>1441</v>
      </c>
    </row>
    <row r="383" spans="8:8" x14ac:dyDescent="0.25">
      <c r="H383" t="s">
        <v>1442</v>
      </c>
    </row>
    <row r="384" spans="8:8" x14ac:dyDescent="0.25">
      <c r="H384" t="s">
        <v>1443</v>
      </c>
    </row>
    <row r="385" spans="8:8" x14ac:dyDescent="0.25">
      <c r="H385" t="s">
        <v>1444</v>
      </c>
    </row>
    <row r="386" spans="8:8" x14ac:dyDescent="0.25">
      <c r="H386" t="s">
        <v>59</v>
      </c>
    </row>
    <row r="387" spans="8:8" x14ac:dyDescent="0.25">
      <c r="H387" t="s">
        <v>1445</v>
      </c>
    </row>
    <row r="388" spans="8:8" x14ac:dyDescent="0.25">
      <c r="H388" t="s">
        <v>1446</v>
      </c>
    </row>
    <row r="389" spans="8:8" x14ac:dyDescent="0.25">
      <c r="H389" t="s">
        <v>1447</v>
      </c>
    </row>
    <row r="390" spans="8:8" x14ac:dyDescent="0.25">
      <c r="H390" t="s">
        <v>1448</v>
      </c>
    </row>
    <row r="391" spans="8:8" x14ac:dyDescent="0.25">
      <c r="H391" t="s">
        <v>1449</v>
      </c>
    </row>
    <row r="392" spans="8:8" x14ac:dyDescent="0.25">
      <c r="H392" t="s">
        <v>1450</v>
      </c>
    </row>
    <row r="393" spans="8:8" x14ac:dyDescent="0.25">
      <c r="H393" t="s">
        <v>60</v>
      </c>
    </row>
    <row r="394" spans="8:8" x14ac:dyDescent="0.25">
      <c r="H394" t="s">
        <v>100</v>
      </c>
    </row>
    <row r="395" spans="8:8" x14ac:dyDescent="0.25">
      <c r="H395" t="s">
        <v>1451</v>
      </c>
    </row>
    <row r="396" spans="8:8" x14ac:dyDescent="0.25">
      <c r="H396" t="s">
        <v>1452</v>
      </c>
    </row>
    <row r="397" spans="8:8" x14ac:dyDescent="0.25">
      <c r="H397" t="s">
        <v>1453</v>
      </c>
    </row>
    <row r="398" spans="8:8" x14ac:dyDescent="0.25">
      <c r="H398" t="s">
        <v>1454</v>
      </c>
    </row>
    <row r="399" spans="8:8" x14ac:dyDescent="0.25">
      <c r="H399" t="s">
        <v>1455</v>
      </c>
    </row>
    <row r="400" spans="8:8" x14ac:dyDescent="0.25">
      <c r="H400" t="s">
        <v>1456</v>
      </c>
    </row>
    <row r="401" spans="8:8" x14ac:dyDescent="0.25">
      <c r="H401" t="s">
        <v>1457</v>
      </c>
    </row>
    <row r="402" spans="8:8" x14ac:dyDescent="0.25">
      <c r="H402" t="s">
        <v>1458</v>
      </c>
    </row>
    <row r="403" spans="8:8" x14ac:dyDescent="0.25">
      <c r="H403" t="s">
        <v>1459</v>
      </c>
    </row>
    <row r="404" spans="8:8" x14ac:dyDescent="0.25">
      <c r="H404" t="s">
        <v>1460</v>
      </c>
    </row>
    <row r="405" spans="8:8" x14ac:dyDescent="0.25">
      <c r="H405" t="s">
        <v>61</v>
      </c>
    </row>
    <row r="406" spans="8:8" x14ac:dyDescent="0.25">
      <c r="H406" t="s">
        <v>1461</v>
      </c>
    </row>
    <row r="407" spans="8:8" x14ac:dyDescent="0.25">
      <c r="H407" t="s">
        <v>62</v>
      </c>
    </row>
    <row r="408" spans="8:8" x14ac:dyDescent="0.25">
      <c r="H408" t="s">
        <v>1462</v>
      </c>
    </row>
    <row r="409" spans="8:8" x14ac:dyDescent="0.25">
      <c r="H409" t="s">
        <v>101</v>
      </c>
    </row>
    <row r="410" spans="8:8" x14ac:dyDescent="0.25">
      <c r="H410" t="s">
        <v>1463</v>
      </c>
    </row>
    <row r="411" spans="8:8" x14ac:dyDescent="0.25">
      <c r="H411" t="s">
        <v>1464</v>
      </c>
    </row>
    <row r="412" spans="8:8" x14ac:dyDescent="0.25">
      <c r="H412" t="s">
        <v>1465</v>
      </c>
    </row>
    <row r="413" spans="8:8" x14ac:dyDescent="0.25">
      <c r="H413" t="s">
        <v>1466</v>
      </c>
    </row>
    <row r="414" spans="8:8" x14ac:dyDescent="0.25">
      <c r="H414" t="s">
        <v>1467</v>
      </c>
    </row>
    <row r="415" spans="8:8" x14ac:dyDescent="0.25">
      <c r="H415" t="s">
        <v>102</v>
      </c>
    </row>
    <row r="416" spans="8:8" x14ac:dyDescent="0.25">
      <c r="H416" t="s">
        <v>1468</v>
      </c>
    </row>
    <row r="417" spans="8:8" x14ac:dyDescent="0.25">
      <c r="H417" t="s">
        <v>1469</v>
      </c>
    </row>
    <row r="418" spans="8:8" x14ac:dyDescent="0.25">
      <c r="H418" t="s">
        <v>63</v>
      </c>
    </row>
    <row r="419" spans="8:8" x14ac:dyDescent="0.25">
      <c r="H419" t="s">
        <v>1470</v>
      </c>
    </row>
    <row r="420" spans="8:8" x14ac:dyDescent="0.25">
      <c r="H420" t="s">
        <v>1471</v>
      </c>
    </row>
    <row r="421" spans="8:8" x14ac:dyDescent="0.25">
      <c r="H421" t="s">
        <v>1472</v>
      </c>
    </row>
    <row r="422" spans="8:8" x14ac:dyDescent="0.25">
      <c r="H422" t="s">
        <v>1473</v>
      </c>
    </row>
    <row r="423" spans="8:8" x14ac:dyDescent="0.25">
      <c r="H423" t="s">
        <v>1474</v>
      </c>
    </row>
    <row r="424" spans="8:8" x14ac:dyDescent="0.25">
      <c r="H424" t="s">
        <v>1475</v>
      </c>
    </row>
    <row r="425" spans="8:8" x14ac:dyDescent="0.25">
      <c r="H425" t="s">
        <v>1476</v>
      </c>
    </row>
    <row r="426" spans="8:8" x14ac:dyDescent="0.25">
      <c r="H426" t="s">
        <v>1477</v>
      </c>
    </row>
    <row r="427" spans="8:8" x14ac:dyDescent="0.25">
      <c r="H427" t="s">
        <v>1478</v>
      </c>
    </row>
    <row r="428" spans="8:8" x14ac:dyDescent="0.25">
      <c r="H428" t="s">
        <v>1479</v>
      </c>
    </row>
    <row r="429" spans="8:8" x14ac:dyDescent="0.25">
      <c r="H429" t="s">
        <v>64</v>
      </c>
    </row>
    <row r="430" spans="8:8" x14ac:dyDescent="0.25">
      <c r="H430" t="s">
        <v>1480</v>
      </c>
    </row>
    <row r="431" spans="8:8" x14ac:dyDescent="0.25">
      <c r="H431" t="s">
        <v>1481</v>
      </c>
    </row>
    <row r="432" spans="8:8" x14ac:dyDescent="0.25">
      <c r="H432" t="s">
        <v>1482</v>
      </c>
    </row>
    <row r="433" spans="8:8" x14ac:dyDescent="0.25">
      <c r="H433" t="s">
        <v>1483</v>
      </c>
    </row>
    <row r="434" spans="8:8" x14ac:dyDescent="0.25">
      <c r="H434" t="s">
        <v>1484</v>
      </c>
    </row>
    <row r="435" spans="8:8" x14ac:dyDescent="0.25">
      <c r="H435" t="s">
        <v>1485</v>
      </c>
    </row>
    <row r="436" spans="8:8" x14ac:dyDescent="0.25">
      <c r="H436" t="s">
        <v>1486</v>
      </c>
    </row>
    <row r="437" spans="8:8" x14ac:dyDescent="0.25">
      <c r="H437" t="s">
        <v>1487</v>
      </c>
    </row>
    <row r="438" spans="8:8" x14ac:dyDescent="0.25">
      <c r="H438" t="s">
        <v>1488</v>
      </c>
    </row>
    <row r="439" spans="8:8" x14ac:dyDescent="0.25">
      <c r="H439" t="s">
        <v>1489</v>
      </c>
    </row>
    <row r="440" spans="8:8" x14ac:dyDescent="0.25">
      <c r="H440" t="s">
        <v>1490</v>
      </c>
    </row>
    <row r="441" spans="8:8" x14ac:dyDescent="0.25">
      <c r="H441" t="s">
        <v>1491</v>
      </c>
    </row>
    <row r="442" spans="8:8" x14ac:dyDescent="0.25">
      <c r="H442" t="s">
        <v>65</v>
      </c>
    </row>
    <row r="443" spans="8:8" x14ac:dyDescent="0.25">
      <c r="H443" t="s">
        <v>66</v>
      </c>
    </row>
    <row r="444" spans="8:8" x14ac:dyDescent="0.25">
      <c r="H444" t="s">
        <v>67</v>
      </c>
    </row>
    <row r="445" spans="8:8" x14ac:dyDescent="0.25">
      <c r="H445" t="s">
        <v>1492</v>
      </c>
    </row>
    <row r="446" spans="8:8" x14ac:dyDescent="0.25">
      <c r="H446" t="s">
        <v>1493</v>
      </c>
    </row>
    <row r="447" spans="8:8" x14ac:dyDescent="0.25">
      <c r="H447" t="s">
        <v>1494</v>
      </c>
    </row>
    <row r="448" spans="8:8" x14ac:dyDescent="0.25">
      <c r="H448" t="s">
        <v>1495</v>
      </c>
    </row>
    <row r="449" spans="8:8" x14ac:dyDescent="0.25">
      <c r="H449" t="s">
        <v>1496</v>
      </c>
    </row>
    <row r="450" spans="8:8" x14ac:dyDescent="0.25">
      <c r="H450" t="s">
        <v>1497</v>
      </c>
    </row>
    <row r="451" spans="8:8" x14ac:dyDescent="0.25">
      <c r="H451" t="s">
        <v>1498</v>
      </c>
    </row>
    <row r="452" spans="8:8" x14ac:dyDescent="0.25">
      <c r="H452" t="s">
        <v>1499</v>
      </c>
    </row>
    <row r="453" spans="8:8" x14ac:dyDescent="0.25">
      <c r="H453" t="s">
        <v>1500</v>
      </c>
    </row>
    <row r="454" spans="8:8" x14ac:dyDescent="0.25">
      <c r="H454" t="s">
        <v>1501</v>
      </c>
    </row>
    <row r="455" spans="8:8" x14ac:dyDescent="0.25">
      <c r="H455" t="s">
        <v>1502</v>
      </c>
    </row>
    <row r="456" spans="8:8" x14ac:dyDescent="0.25">
      <c r="H456" t="s">
        <v>1503</v>
      </c>
    </row>
    <row r="457" spans="8:8" x14ac:dyDescent="0.25">
      <c r="H457" t="s">
        <v>1504</v>
      </c>
    </row>
    <row r="458" spans="8:8" x14ac:dyDescent="0.25">
      <c r="H458" t="s">
        <v>1505</v>
      </c>
    </row>
    <row r="459" spans="8:8" x14ac:dyDescent="0.25">
      <c r="H459" t="s">
        <v>1506</v>
      </c>
    </row>
    <row r="460" spans="8:8" x14ac:dyDescent="0.25">
      <c r="H460" t="s">
        <v>68</v>
      </c>
    </row>
    <row r="461" spans="8:8" x14ac:dyDescent="0.25">
      <c r="H461" t="s">
        <v>69</v>
      </c>
    </row>
    <row r="462" spans="8:8" x14ac:dyDescent="0.25">
      <c r="H462" t="s">
        <v>70</v>
      </c>
    </row>
    <row r="463" spans="8:8" x14ac:dyDescent="0.25">
      <c r="H463" t="s">
        <v>1507</v>
      </c>
    </row>
    <row r="464" spans="8:8" x14ac:dyDescent="0.25">
      <c r="H464" t="s">
        <v>1508</v>
      </c>
    </row>
    <row r="465" spans="8:8" x14ac:dyDescent="0.25">
      <c r="H465" t="s">
        <v>1509</v>
      </c>
    </row>
    <row r="466" spans="8:8" x14ac:dyDescent="0.25">
      <c r="H466" t="s">
        <v>1510</v>
      </c>
    </row>
    <row r="467" spans="8:8" x14ac:dyDescent="0.25">
      <c r="H467" t="s">
        <v>1511</v>
      </c>
    </row>
    <row r="468" spans="8:8" x14ac:dyDescent="0.25">
      <c r="H468" t="s">
        <v>1512</v>
      </c>
    </row>
    <row r="469" spans="8:8" x14ac:dyDescent="0.25">
      <c r="H469" t="s">
        <v>1513</v>
      </c>
    </row>
    <row r="470" spans="8:8" x14ac:dyDescent="0.25">
      <c r="H470" t="s">
        <v>1514</v>
      </c>
    </row>
    <row r="471" spans="8:8" x14ac:dyDescent="0.25">
      <c r="H471" t="s">
        <v>1515</v>
      </c>
    </row>
    <row r="472" spans="8:8" x14ac:dyDescent="0.25">
      <c r="H472" t="s">
        <v>103</v>
      </c>
    </row>
    <row r="473" spans="8:8" x14ac:dyDescent="0.25">
      <c r="H473" t="s">
        <v>1516</v>
      </c>
    </row>
    <row r="474" spans="8:8" x14ac:dyDescent="0.25">
      <c r="H474" t="s">
        <v>1517</v>
      </c>
    </row>
    <row r="475" spans="8:8" x14ac:dyDescent="0.25">
      <c r="H475" t="s">
        <v>1518</v>
      </c>
    </row>
    <row r="476" spans="8:8" x14ac:dyDescent="0.25">
      <c r="H476" t="s">
        <v>1519</v>
      </c>
    </row>
    <row r="477" spans="8:8" x14ac:dyDescent="0.25">
      <c r="H477" t="s">
        <v>1520</v>
      </c>
    </row>
    <row r="478" spans="8:8" x14ac:dyDescent="0.25">
      <c r="H478" t="s">
        <v>1521</v>
      </c>
    </row>
    <row r="479" spans="8:8" x14ac:dyDescent="0.25">
      <c r="H479" t="s">
        <v>71</v>
      </c>
    </row>
    <row r="480" spans="8:8" x14ac:dyDescent="0.25">
      <c r="H480" t="s">
        <v>1522</v>
      </c>
    </row>
    <row r="481" spans="8:8" x14ac:dyDescent="0.25">
      <c r="H481" t="s">
        <v>1523</v>
      </c>
    </row>
    <row r="482" spans="8:8" x14ac:dyDescent="0.25">
      <c r="H482" t="s">
        <v>72</v>
      </c>
    </row>
    <row r="483" spans="8:8" x14ac:dyDescent="0.25">
      <c r="H483" t="s">
        <v>1524</v>
      </c>
    </row>
    <row r="484" spans="8:8" x14ac:dyDescent="0.25">
      <c r="H484" t="s">
        <v>1525</v>
      </c>
    </row>
    <row r="485" spans="8:8" x14ac:dyDescent="0.25">
      <c r="H485" t="s">
        <v>1526</v>
      </c>
    </row>
    <row r="486" spans="8:8" x14ac:dyDescent="0.25">
      <c r="H486" t="s">
        <v>1527</v>
      </c>
    </row>
    <row r="487" spans="8:8" x14ac:dyDescent="0.25">
      <c r="H487" t="s">
        <v>1528</v>
      </c>
    </row>
    <row r="488" spans="8:8" x14ac:dyDescent="0.25">
      <c r="H488" t="s">
        <v>1529</v>
      </c>
    </row>
    <row r="489" spans="8:8" x14ac:dyDescent="0.25">
      <c r="H489" t="s">
        <v>1530</v>
      </c>
    </row>
    <row r="490" spans="8:8" x14ac:dyDescent="0.25">
      <c r="H490" t="s">
        <v>73</v>
      </c>
    </row>
    <row r="491" spans="8:8" x14ac:dyDescent="0.25">
      <c r="H491" t="s">
        <v>1531</v>
      </c>
    </row>
    <row r="492" spans="8:8" x14ac:dyDescent="0.25">
      <c r="H492" t="s">
        <v>1532</v>
      </c>
    </row>
    <row r="493" spans="8:8" x14ac:dyDescent="0.25">
      <c r="H493" t="s">
        <v>1533</v>
      </c>
    </row>
    <row r="494" spans="8:8" x14ac:dyDescent="0.25">
      <c r="H494" t="s">
        <v>1534</v>
      </c>
    </row>
    <row r="495" spans="8:8" x14ac:dyDescent="0.25">
      <c r="H495" t="s">
        <v>1535</v>
      </c>
    </row>
    <row r="496" spans="8:8" x14ac:dyDescent="0.25">
      <c r="H496" t="s">
        <v>1536</v>
      </c>
    </row>
    <row r="497" spans="8:8" x14ac:dyDescent="0.25">
      <c r="H497" t="s">
        <v>1537</v>
      </c>
    </row>
    <row r="498" spans="8:8" x14ac:dyDescent="0.25">
      <c r="H498" t="s">
        <v>1538</v>
      </c>
    </row>
    <row r="499" spans="8:8" x14ac:dyDescent="0.25">
      <c r="H499" t="s">
        <v>74</v>
      </c>
    </row>
    <row r="500" spans="8:8" x14ac:dyDescent="0.25">
      <c r="H500" t="s">
        <v>1539</v>
      </c>
    </row>
    <row r="501" spans="8:8" x14ac:dyDescent="0.25">
      <c r="H501" t="s">
        <v>1540</v>
      </c>
    </row>
    <row r="502" spans="8:8" x14ac:dyDescent="0.25">
      <c r="H502" t="s">
        <v>1541</v>
      </c>
    </row>
    <row r="503" spans="8:8" x14ac:dyDescent="0.25">
      <c r="H503" t="s">
        <v>1542</v>
      </c>
    </row>
    <row r="504" spans="8:8" x14ac:dyDescent="0.25">
      <c r="H504" t="s">
        <v>1543</v>
      </c>
    </row>
    <row r="505" spans="8:8" x14ac:dyDescent="0.25">
      <c r="H505" t="s">
        <v>1544</v>
      </c>
    </row>
    <row r="506" spans="8:8" x14ac:dyDescent="0.25">
      <c r="H506" t="s">
        <v>75</v>
      </c>
    </row>
    <row r="507" spans="8:8" x14ac:dyDescent="0.25">
      <c r="H507" t="s">
        <v>1545</v>
      </c>
    </row>
    <row r="508" spans="8:8" x14ac:dyDescent="0.25">
      <c r="H508" t="s">
        <v>1546</v>
      </c>
    </row>
    <row r="509" spans="8:8" x14ac:dyDescent="0.25">
      <c r="H509" t="s">
        <v>1547</v>
      </c>
    </row>
    <row r="510" spans="8:8" x14ac:dyDescent="0.25">
      <c r="H510" t="s">
        <v>1548</v>
      </c>
    </row>
    <row r="511" spans="8:8" x14ac:dyDescent="0.25">
      <c r="H511" t="s">
        <v>1549</v>
      </c>
    </row>
    <row r="512" spans="8:8" x14ac:dyDescent="0.25">
      <c r="H512" t="s">
        <v>1550</v>
      </c>
    </row>
    <row r="513" spans="8:8" x14ac:dyDescent="0.25">
      <c r="H513" t="s">
        <v>76</v>
      </c>
    </row>
    <row r="514" spans="8:8" x14ac:dyDescent="0.25">
      <c r="H514" t="s">
        <v>77</v>
      </c>
    </row>
    <row r="515" spans="8:8" x14ac:dyDescent="0.25">
      <c r="H515" t="s">
        <v>1551</v>
      </c>
    </row>
    <row r="516" spans="8:8" x14ac:dyDescent="0.25">
      <c r="H516" t="s">
        <v>1552</v>
      </c>
    </row>
    <row r="517" spans="8:8" x14ac:dyDescent="0.25">
      <c r="H517" t="s">
        <v>1553</v>
      </c>
    </row>
    <row r="518" spans="8:8" x14ac:dyDescent="0.25">
      <c r="H518" t="s">
        <v>1554</v>
      </c>
    </row>
    <row r="519" spans="8:8" x14ac:dyDescent="0.25">
      <c r="H519" t="s">
        <v>1555</v>
      </c>
    </row>
    <row r="520" spans="8:8" x14ac:dyDescent="0.25">
      <c r="H520" t="s">
        <v>1556</v>
      </c>
    </row>
    <row r="521" spans="8:8" x14ac:dyDescent="0.25">
      <c r="H521" t="s">
        <v>1557</v>
      </c>
    </row>
    <row r="522" spans="8:8" x14ac:dyDescent="0.25">
      <c r="H522" t="s">
        <v>1558</v>
      </c>
    </row>
    <row r="523" spans="8:8" x14ac:dyDescent="0.25">
      <c r="H523" t="s">
        <v>1559</v>
      </c>
    </row>
    <row r="524" spans="8:8" x14ac:dyDescent="0.25">
      <c r="H524" t="s">
        <v>1560</v>
      </c>
    </row>
    <row r="525" spans="8:8" x14ac:dyDescent="0.25">
      <c r="H525" t="s">
        <v>1561</v>
      </c>
    </row>
    <row r="526" spans="8:8" x14ac:dyDescent="0.25">
      <c r="H526" t="s">
        <v>104</v>
      </c>
    </row>
    <row r="527" spans="8:8" x14ac:dyDescent="0.25">
      <c r="H527" t="s">
        <v>1562</v>
      </c>
    </row>
    <row r="528" spans="8:8" x14ac:dyDescent="0.25">
      <c r="H528" t="s">
        <v>78</v>
      </c>
    </row>
    <row r="529" spans="8:8" x14ac:dyDescent="0.25">
      <c r="H529" t="s">
        <v>79</v>
      </c>
    </row>
    <row r="530" spans="8:8" x14ac:dyDescent="0.25">
      <c r="H530" t="s">
        <v>105</v>
      </c>
    </row>
    <row r="531" spans="8:8" x14ac:dyDescent="0.25">
      <c r="H531" t="s">
        <v>80</v>
      </c>
    </row>
    <row r="532" spans="8:8" x14ac:dyDescent="0.25">
      <c r="H532" t="s">
        <v>1563</v>
      </c>
    </row>
    <row r="533" spans="8:8" x14ac:dyDescent="0.25">
      <c r="H533" t="s">
        <v>1564</v>
      </c>
    </row>
    <row r="534" spans="8:8" x14ac:dyDescent="0.25">
      <c r="H534" t="s">
        <v>106</v>
      </c>
    </row>
    <row r="535" spans="8:8" x14ac:dyDescent="0.25">
      <c r="H535" t="s">
        <v>1565</v>
      </c>
    </row>
    <row r="536" spans="8:8" x14ac:dyDescent="0.25">
      <c r="H536" t="s">
        <v>81</v>
      </c>
    </row>
    <row r="537" spans="8:8" x14ac:dyDescent="0.25">
      <c r="H537" t="s">
        <v>82</v>
      </c>
    </row>
    <row r="538" spans="8:8" x14ac:dyDescent="0.25">
      <c r="H538" t="s">
        <v>1566</v>
      </c>
    </row>
    <row r="539" spans="8:8" x14ac:dyDescent="0.25">
      <c r="H539" t="s">
        <v>1567</v>
      </c>
    </row>
    <row r="540" spans="8:8" x14ac:dyDescent="0.25">
      <c r="H540" t="s">
        <v>1568</v>
      </c>
    </row>
    <row r="541" spans="8:8" x14ac:dyDescent="0.25">
      <c r="H541" t="s">
        <v>1569</v>
      </c>
    </row>
    <row r="542" spans="8:8" x14ac:dyDescent="0.25">
      <c r="H542" t="s">
        <v>1570</v>
      </c>
    </row>
    <row r="543" spans="8:8" x14ac:dyDescent="0.25">
      <c r="H543" t="s">
        <v>1571</v>
      </c>
    </row>
    <row r="544" spans="8:8" x14ac:dyDescent="0.25">
      <c r="H544" t="s">
        <v>1572</v>
      </c>
    </row>
    <row r="545" spans="8:8" x14ac:dyDescent="0.25">
      <c r="H545" t="s">
        <v>1573</v>
      </c>
    </row>
    <row r="546" spans="8:8" x14ac:dyDescent="0.25">
      <c r="H546" t="s">
        <v>1574</v>
      </c>
    </row>
    <row r="547" spans="8:8" x14ac:dyDescent="0.25">
      <c r="H547" t="s">
        <v>1575</v>
      </c>
    </row>
    <row r="548" spans="8:8" x14ac:dyDescent="0.25">
      <c r="H548" t="s">
        <v>1576</v>
      </c>
    </row>
    <row r="549" spans="8:8" x14ac:dyDescent="0.25">
      <c r="H549" t="s">
        <v>1577</v>
      </c>
    </row>
    <row r="550" spans="8:8" x14ac:dyDescent="0.25">
      <c r="H550" t="s">
        <v>1578</v>
      </c>
    </row>
    <row r="551" spans="8:8" x14ac:dyDescent="0.25">
      <c r="H551" t="s">
        <v>1579</v>
      </c>
    </row>
  </sheetData>
  <sortState xmlns:xlrd2="http://schemas.microsoft.com/office/spreadsheetml/2017/richdata2" ref="A4:E85">
    <sortCondition descending="1" ref="D4:D85"/>
    <sortCondition descending="1" ref="A4:A85"/>
  </sortState>
  <mergeCells count="2">
    <mergeCell ref="A2:D2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06CC-72B8-4604-8995-A5E76AC255CE}">
  <dimension ref="A1:F84"/>
  <sheetViews>
    <sheetView zoomScale="130" zoomScaleNormal="130" workbookViewId="0">
      <selection activeCell="F4" sqref="F4"/>
    </sheetView>
  </sheetViews>
  <sheetFormatPr defaultRowHeight="15" x14ac:dyDescent="0.25"/>
  <cols>
    <col min="1" max="1" width="14.42578125" bestFit="1" customWidth="1"/>
    <col min="2" max="2" width="15" style="2" customWidth="1"/>
    <col min="3" max="3" width="15.42578125" style="1" bestFit="1" customWidth="1"/>
    <col min="4" max="4" width="16.42578125" style="1" bestFit="1" customWidth="1"/>
    <col min="5" max="5" width="16.7109375" bestFit="1" customWidth="1"/>
    <col min="6" max="6" width="9.140625" style="11"/>
  </cols>
  <sheetData>
    <row r="1" spans="1:6" ht="18.75" x14ac:dyDescent="0.3">
      <c r="A1" s="43" t="s">
        <v>88</v>
      </c>
      <c r="B1" s="43"/>
      <c r="C1" s="43"/>
      <c r="D1" s="43"/>
      <c r="E1" s="43"/>
    </row>
    <row r="2" spans="1:6" x14ac:dyDescent="0.25">
      <c r="A2" s="42" t="s">
        <v>84</v>
      </c>
      <c r="B2" s="42"/>
      <c r="C2" s="42"/>
      <c r="D2" s="42"/>
      <c r="E2" s="9">
        <f>SUM(D5:D82)</f>
        <v>3524023.2399999998</v>
      </c>
    </row>
    <row r="3" spans="1:6" s="3" customFormat="1" x14ac:dyDescent="0.25">
      <c r="A3" s="7" t="s">
        <v>6</v>
      </c>
      <c r="B3" s="7" t="s">
        <v>7</v>
      </c>
      <c r="C3" s="8" t="s">
        <v>8</v>
      </c>
      <c r="D3" s="8" t="s">
        <v>9</v>
      </c>
      <c r="E3" s="8" t="s">
        <v>87</v>
      </c>
      <c r="F3" s="12"/>
    </row>
    <row r="4" spans="1:6" s="3" customFormat="1" x14ac:dyDescent="0.25">
      <c r="A4" s="7"/>
      <c r="B4" s="7"/>
      <c r="C4" s="8">
        <f>SUM(C5:C82)</f>
        <v>479127.51999999979</v>
      </c>
      <c r="D4" s="8">
        <f>SUM(D5:D82)</f>
        <v>3524023.2399999998</v>
      </c>
      <c r="E4" s="8">
        <f>SUM(E5:E82)</f>
        <v>3046084</v>
      </c>
      <c r="F4" s="12">
        <f>SUM(F5:F82)</f>
        <v>78</v>
      </c>
    </row>
    <row r="5" spans="1:6" x14ac:dyDescent="0.25">
      <c r="A5" s="4" t="s">
        <v>57</v>
      </c>
      <c r="B5" s="5">
        <v>179</v>
      </c>
      <c r="C5" s="6">
        <v>47546.02</v>
      </c>
      <c r="D5" s="6">
        <v>2026502.17</v>
      </c>
      <c r="E5" s="10">
        <f t="shared" ref="E5:E29" si="0">D5-C5</f>
        <v>1978956.15</v>
      </c>
      <c r="F5" s="13">
        <v>1</v>
      </c>
    </row>
    <row r="6" spans="1:6" x14ac:dyDescent="0.25">
      <c r="A6" s="4" t="s">
        <v>53</v>
      </c>
      <c r="B6" s="5">
        <v>161</v>
      </c>
      <c r="C6" s="6">
        <v>66361.41</v>
      </c>
      <c r="D6" s="6">
        <v>750018.05</v>
      </c>
      <c r="E6" s="10">
        <f t="shared" si="0"/>
        <v>683656.64</v>
      </c>
      <c r="F6" s="13">
        <v>1</v>
      </c>
    </row>
    <row r="7" spans="1:6" x14ac:dyDescent="0.25">
      <c r="A7" s="4" t="s">
        <v>54</v>
      </c>
      <c r="B7" s="5">
        <v>73</v>
      </c>
      <c r="C7" s="6">
        <v>31832.02</v>
      </c>
      <c r="D7" s="6">
        <v>311541.51</v>
      </c>
      <c r="E7" s="10">
        <f t="shared" si="0"/>
        <v>279709.49</v>
      </c>
      <c r="F7" s="13">
        <v>1</v>
      </c>
    </row>
    <row r="8" spans="1:6" x14ac:dyDescent="0.25">
      <c r="A8" s="4" t="s">
        <v>63</v>
      </c>
      <c r="B8" s="5">
        <v>3</v>
      </c>
      <c r="C8" s="6">
        <v>1207.49</v>
      </c>
      <c r="D8" s="6">
        <v>26113.46</v>
      </c>
      <c r="E8" s="10">
        <f t="shared" si="0"/>
        <v>24905.969999999998</v>
      </c>
      <c r="F8" s="13">
        <v>1</v>
      </c>
    </row>
    <row r="9" spans="1:6" x14ac:dyDescent="0.25">
      <c r="A9" s="4" t="s">
        <v>39</v>
      </c>
      <c r="B9" s="5">
        <v>43</v>
      </c>
      <c r="C9" s="6">
        <v>19792.28</v>
      </c>
      <c r="D9" s="6">
        <v>42078.51</v>
      </c>
      <c r="E9" s="10">
        <f t="shared" si="0"/>
        <v>22286.230000000003</v>
      </c>
      <c r="F9" s="13">
        <v>1</v>
      </c>
    </row>
    <row r="10" spans="1:6" x14ac:dyDescent="0.25">
      <c r="A10" s="4" t="s">
        <v>10</v>
      </c>
      <c r="B10" s="5">
        <v>48</v>
      </c>
      <c r="C10" s="6">
        <v>23195.69</v>
      </c>
      <c r="D10" s="6">
        <v>31815.66</v>
      </c>
      <c r="E10" s="10">
        <f t="shared" si="0"/>
        <v>8619.9700000000012</v>
      </c>
      <c r="F10" s="13">
        <v>1</v>
      </c>
    </row>
    <row r="11" spans="1:6" x14ac:dyDescent="0.25">
      <c r="A11" s="4" t="s">
        <v>77</v>
      </c>
      <c r="B11" s="5">
        <v>17</v>
      </c>
      <c r="C11" s="6">
        <v>10810.27</v>
      </c>
      <c r="D11" s="6">
        <v>15565.89</v>
      </c>
      <c r="E11" s="10">
        <f t="shared" si="0"/>
        <v>4755.619999999999</v>
      </c>
      <c r="F11" s="13">
        <v>1</v>
      </c>
    </row>
    <row r="12" spans="1:6" x14ac:dyDescent="0.25">
      <c r="A12" s="4" t="s">
        <v>32</v>
      </c>
      <c r="B12" s="5">
        <v>26</v>
      </c>
      <c r="C12" s="6">
        <v>13628.81</v>
      </c>
      <c r="D12" s="6">
        <v>17241.53</v>
      </c>
      <c r="E12" s="10">
        <f t="shared" si="0"/>
        <v>3612.7199999999993</v>
      </c>
      <c r="F12" s="13">
        <v>1</v>
      </c>
    </row>
    <row r="13" spans="1:6" x14ac:dyDescent="0.25">
      <c r="A13" s="4" t="s">
        <v>1</v>
      </c>
      <c r="B13" s="5">
        <v>17</v>
      </c>
      <c r="C13" s="6">
        <v>25828.78</v>
      </c>
      <c r="D13" s="6">
        <f>C13+431.21+556.04+2152.92</f>
        <v>28968.949999999997</v>
      </c>
      <c r="E13" s="10">
        <f t="shared" si="0"/>
        <v>3140.1699999999983</v>
      </c>
      <c r="F13" s="13">
        <v>1</v>
      </c>
    </row>
    <row r="14" spans="1:6" x14ac:dyDescent="0.25">
      <c r="A14" s="4" t="s">
        <v>51</v>
      </c>
      <c r="B14" s="5">
        <v>18</v>
      </c>
      <c r="C14" s="6">
        <v>8677.26</v>
      </c>
      <c r="D14" s="6">
        <v>11775.96</v>
      </c>
      <c r="E14" s="10">
        <f t="shared" si="0"/>
        <v>3098.6999999999989</v>
      </c>
      <c r="F14" s="13">
        <v>1</v>
      </c>
    </row>
    <row r="15" spans="1:6" x14ac:dyDescent="0.25">
      <c r="A15" s="4" t="s">
        <v>26</v>
      </c>
      <c r="B15" s="5">
        <v>11</v>
      </c>
      <c r="C15" s="6">
        <v>4921.24</v>
      </c>
      <c r="D15" s="6">
        <v>7582.77</v>
      </c>
      <c r="E15" s="10">
        <f t="shared" si="0"/>
        <v>2661.5300000000007</v>
      </c>
      <c r="F15" s="13">
        <v>1</v>
      </c>
    </row>
    <row r="16" spans="1:6" x14ac:dyDescent="0.25">
      <c r="A16" s="4" t="s">
        <v>31</v>
      </c>
      <c r="B16" s="5">
        <v>25</v>
      </c>
      <c r="C16" s="6">
        <v>20734.580000000002</v>
      </c>
      <c r="D16" s="6">
        <v>23136.52</v>
      </c>
      <c r="E16" s="10">
        <f t="shared" si="0"/>
        <v>2401.9399999999987</v>
      </c>
      <c r="F16" s="13">
        <v>1</v>
      </c>
    </row>
    <row r="17" spans="1:6" x14ac:dyDescent="0.25">
      <c r="A17" s="4" t="s">
        <v>4</v>
      </c>
      <c r="B17" s="5">
        <v>19</v>
      </c>
      <c r="C17" s="6">
        <v>9770</v>
      </c>
      <c r="D17" s="6">
        <v>12140.85</v>
      </c>
      <c r="E17" s="10">
        <f t="shared" si="0"/>
        <v>2370.8500000000004</v>
      </c>
      <c r="F17" s="13">
        <v>1</v>
      </c>
    </row>
    <row r="18" spans="1:6" x14ac:dyDescent="0.25">
      <c r="A18" s="4" t="s">
        <v>48</v>
      </c>
      <c r="B18" s="5">
        <v>20</v>
      </c>
      <c r="C18" s="6">
        <v>10330</v>
      </c>
      <c r="D18" s="6">
        <v>12567.56</v>
      </c>
      <c r="E18" s="10">
        <f t="shared" si="0"/>
        <v>2237.5599999999995</v>
      </c>
      <c r="F18" s="13">
        <v>1</v>
      </c>
    </row>
    <row r="19" spans="1:6" x14ac:dyDescent="0.25">
      <c r="A19" s="4" t="s">
        <v>15</v>
      </c>
      <c r="B19" s="5">
        <v>18</v>
      </c>
      <c r="C19" s="6">
        <v>9270</v>
      </c>
      <c r="D19" s="6">
        <v>11456.08</v>
      </c>
      <c r="E19" s="10">
        <f t="shared" si="0"/>
        <v>2186.08</v>
      </c>
      <c r="F19" s="13">
        <v>1</v>
      </c>
    </row>
    <row r="20" spans="1:6" x14ac:dyDescent="0.25">
      <c r="A20" s="4" t="s">
        <v>12</v>
      </c>
      <c r="B20" s="5">
        <v>16</v>
      </c>
      <c r="C20" s="6">
        <v>8240</v>
      </c>
      <c r="D20" s="6">
        <v>10217.629999999999</v>
      </c>
      <c r="E20" s="10">
        <f t="shared" si="0"/>
        <v>1977.6299999999992</v>
      </c>
      <c r="F20" s="13">
        <v>1</v>
      </c>
    </row>
    <row r="21" spans="1:6" x14ac:dyDescent="0.25">
      <c r="A21" s="4" t="s">
        <v>42</v>
      </c>
      <c r="B21" s="5">
        <v>18</v>
      </c>
      <c r="C21" s="6">
        <v>8546.35</v>
      </c>
      <c r="D21" s="6">
        <v>10431.86</v>
      </c>
      <c r="E21" s="10">
        <f t="shared" si="0"/>
        <v>1885.5100000000002</v>
      </c>
      <c r="F21" s="13">
        <v>1</v>
      </c>
    </row>
    <row r="22" spans="1:6" x14ac:dyDescent="0.25">
      <c r="A22" s="4" t="s">
        <v>25</v>
      </c>
      <c r="B22" s="5">
        <v>16</v>
      </c>
      <c r="C22" s="6">
        <v>10059.290000000001</v>
      </c>
      <c r="D22" s="6">
        <v>11929</v>
      </c>
      <c r="E22" s="10">
        <f t="shared" si="0"/>
        <v>1869.7099999999991</v>
      </c>
      <c r="F22" s="13">
        <v>1</v>
      </c>
    </row>
    <row r="23" spans="1:6" x14ac:dyDescent="0.25">
      <c r="A23" s="4" t="s">
        <v>79</v>
      </c>
      <c r="B23" s="5">
        <v>21</v>
      </c>
      <c r="C23" s="6">
        <v>10980</v>
      </c>
      <c r="D23" s="6">
        <v>12665.32</v>
      </c>
      <c r="E23" s="10">
        <f t="shared" si="0"/>
        <v>1685.3199999999997</v>
      </c>
      <c r="F23" s="13">
        <v>1</v>
      </c>
    </row>
    <row r="24" spans="1:6" x14ac:dyDescent="0.25">
      <c r="A24" s="4" t="s">
        <v>5</v>
      </c>
      <c r="B24" s="5">
        <v>14</v>
      </c>
      <c r="C24" s="6">
        <v>7210</v>
      </c>
      <c r="D24" s="6">
        <v>8868.32</v>
      </c>
      <c r="E24" s="10">
        <f t="shared" si="0"/>
        <v>1658.3199999999997</v>
      </c>
      <c r="F24" s="13">
        <v>1</v>
      </c>
    </row>
    <row r="25" spans="1:6" x14ac:dyDescent="0.25">
      <c r="A25" s="4" t="s">
        <v>43</v>
      </c>
      <c r="B25" s="5">
        <v>16</v>
      </c>
      <c r="C25" s="6">
        <v>8240</v>
      </c>
      <c r="D25" s="6">
        <v>9460.9500000000007</v>
      </c>
      <c r="E25" s="10">
        <f t="shared" si="0"/>
        <v>1220.9500000000007</v>
      </c>
      <c r="F25" s="13">
        <v>1</v>
      </c>
    </row>
    <row r="26" spans="1:6" x14ac:dyDescent="0.25">
      <c r="A26" s="4" t="s">
        <v>35</v>
      </c>
      <c r="B26" s="5">
        <v>6</v>
      </c>
      <c r="C26" s="6">
        <v>2962.84</v>
      </c>
      <c r="D26" s="6">
        <v>3950.82</v>
      </c>
      <c r="E26" s="10">
        <f t="shared" si="0"/>
        <v>987.98</v>
      </c>
      <c r="F26" s="13">
        <v>1</v>
      </c>
    </row>
    <row r="27" spans="1:6" x14ac:dyDescent="0.25">
      <c r="A27" s="4" t="s">
        <v>60</v>
      </c>
      <c r="B27" s="5">
        <v>13</v>
      </c>
      <c r="C27" s="6">
        <v>6847.5</v>
      </c>
      <c r="D27" s="6">
        <v>7687.41</v>
      </c>
      <c r="E27" s="10">
        <f t="shared" si="0"/>
        <v>839.90999999999985</v>
      </c>
      <c r="F27" s="13">
        <v>1</v>
      </c>
    </row>
    <row r="28" spans="1:6" x14ac:dyDescent="0.25">
      <c r="A28" s="4" t="s">
        <v>33</v>
      </c>
      <c r="B28" s="5">
        <v>16</v>
      </c>
      <c r="C28" s="6">
        <v>6271.93</v>
      </c>
      <c r="D28" s="6">
        <v>7110.71</v>
      </c>
      <c r="E28" s="10">
        <f t="shared" si="0"/>
        <v>838.77999999999975</v>
      </c>
      <c r="F28" s="13">
        <v>1</v>
      </c>
    </row>
    <row r="29" spans="1:6" x14ac:dyDescent="0.25">
      <c r="A29" s="4" t="s">
        <v>2</v>
      </c>
      <c r="B29" s="5">
        <v>13</v>
      </c>
      <c r="C29" s="6">
        <v>6890</v>
      </c>
      <c r="D29" s="6">
        <v>7541.22</v>
      </c>
      <c r="E29" s="10">
        <f t="shared" si="0"/>
        <v>651.22000000000025</v>
      </c>
      <c r="F29" s="13">
        <v>1</v>
      </c>
    </row>
    <row r="30" spans="1:6" x14ac:dyDescent="0.25">
      <c r="A30" s="4" t="s">
        <v>38</v>
      </c>
      <c r="B30" s="5">
        <v>1</v>
      </c>
      <c r="C30" s="6">
        <v>530</v>
      </c>
      <c r="D30" s="6">
        <v>571.67999999999995</v>
      </c>
      <c r="E30" s="10">
        <v>643.80999999999995</v>
      </c>
      <c r="F30" s="13">
        <v>1</v>
      </c>
    </row>
    <row r="31" spans="1:6" x14ac:dyDescent="0.25">
      <c r="A31" s="4" t="s">
        <v>44</v>
      </c>
      <c r="B31" s="5">
        <v>1</v>
      </c>
      <c r="C31" s="6">
        <v>530</v>
      </c>
      <c r="D31" s="6">
        <v>587.66</v>
      </c>
      <c r="E31" s="10">
        <v>643.80999999999995</v>
      </c>
      <c r="F31" s="13">
        <v>1</v>
      </c>
    </row>
    <row r="32" spans="1:6" x14ac:dyDescent="0.25">
      <c r="A32" s="4" t="s">
        <v>24</v>
      </c>
      <c r="B32" s="5">
        <v>20</v>
      </c>
      <c r="C32" s="6">
        <v>7535.86</v>
      </c>
      <c r="D32" s="6">
        <v>8065.15</v>
      </c>
      <c r="E32" s="10">
        <f t="shared" ref="E32:E63" si="1">D32-C32</f>
        <v>529.29</v>
      </c>
      <c r="F32" s="13">
        <v>1</v>
      </c>
    </row>
    <row r="33" spans="1:6" x14ac:dyDescent="0.25">
      <c r="A33" s="4" t="s">
        <v>23</v>
      </c>
      <c r="B33" s="5">
        <v>7</v>
      </c>
      <c r="C33" s="6">
        <v>4746.29</v>
      </c>
      <c r="D33" s="6">
        <v>5240.42</v>
      </c>
      <c r="E33" s="10">
        <f t="shared" si="1"/>
        <v>494.13000000000011</v>
      </c>
      <c r="F33" s="13">
        <v>1</v>
      </c>
    </row>
    <row r="34" spans="1:6" x14ac:dyDescent="0.25">
      <c r="A34" s="4" t="s">
        <v>16</v>
      </c>
      <c r="B34" s="5">
        <v>27</v>
      </c>
      <c r="C34" s="6">
        <v>7579.61</v>
      </c>
      <c r="D34" s="6">
        <v>8047.12</v>
      </c>
      <c r="E34" s="10">
        <f t="shared" si="1"/>
        <v>467.51000000000022</v>
      </c>
      <c r="F34" s="13">
        <v>1</v>
      </c>
    </row>
    <row r="35" spans="1:6" x14ac:dyDescent="0.25">
      <c r="A35" s="4" t="s">
        <v>17</v>
      </c>
      <c r="B35" s="5">
        <v>14</v>
      </c>
      <c r="C35" s="6">
        <v>5843.25</v>
      </c>
      <c r="D35" s="6">
        <v>6202.21</v>
      </c>
      <c r="E35" s="10">
        <f t="shared" si="1"/>
        <v>358.96000000000004</v>
      </c>
      <c r="F35" s="13">
        <v>1</v>
      </c>
    </row>
    <row r="36" spans="1:6" x14ac:dyDescent="0.25">
      <c r="A36" s="4" t="s">
        <v>64</v>
      </c>
      <c r="B36" s="5">
        <v>9</v>
      </c>
      <c r="C36" s="6">
        <v>4770</v>
      </c>
      <c r="D36" s="6">
        <v>5084</v>
      </c>
      <c r="E36" s="10">
        <f t="shared" si="1"/>
        <v>314</v>
      </c>
      <c r="F36" s="13">
        <v>1</v>
      </c>
    </row>
    <row r="37" spans="1:6" x14ac:dyDescent="0.25">
      <c r="A37" s="4" t="s">
        <v>61</v>
      </c>
      <c r="B37" s="5">
        <v>3</v>
      </c>
      <c r="C37" s="6">
        <v>1782.62</v>
      </c>
      <c r="D37" s="6">
        <v>2035.7</v>
      </c>
      <c r="E37" s="10">
        <f t="shared" si="1"/>
        <v>253.08000000000015</v>
      </c>
      <c r="F37" s="13">
        <v>1</v>
      </c>
    </row>
    <row r="38" spans="1:6" x14ac:dyDescent="0.25">
      <c r="A38" s="4" t="s">
        <v>59</v>
      </c>
      <c r="B38" s="5">
        <v>4</v>
      </c>
      <c r="C38" s="6">
        <v>4664.92</v>
      </c>
      <c r="D38" s="6">
        <v>4917.1099999999997</v>
      </c>
      <c r="E38" s="10">
        <f t="shared" si="1"/>
        <v>252.1899999999996</v>
      </c>
      <c r="F38" s="13">
        <v>1</v>
      </c>
    </row>
    <row r="39" spans="1:6" x14ac:dyDescent="0.25">
      <c r="A39" s="4" t="s">
        <v>69</v>
      </c>
      <c r="B39" s="5">
        <v>7</v>
      </c>
      <c r="C39" s="6">
        <v>3710</v>
      </c>
      <c r="D39" s="6">
        <v>3936.36</v>
      </c>
      <c r="E39" s="10">
        <f t="shared" si="1"/>
        <v>226.36000000000013</v>
      </c>
      <c r="F39" s="13">
        <v>1</v>
      </c>
    </row>
    <row r="40" spans="1:6" x14ac:dyDescent="0.25">
      <c r="A40" s="4" t="s">
        <v>58</v>
      </c>
      <c r="B40" s="5">
        <v>5</v>
      </c>
      <c r="C40" s="6">
        <v>2650</v>
      </c>
      <c r="D40" s="6">
        <v>2875.25</v>
      </c>
      <c r="E40" s="10">
        <f t="shared" si="1"/>
        <v>225.25</v>
      </c>
      <c r="F40" s="13">
        <v>1</v>
      </c>
    </row>
    <row r="41" spans="1:6" x14ac:dyDescent="0.25">
      <c r="A41" s="4" t="s">
        <v>18</v>
      </c>
      <c r="B41" s="5">
        <v>2</v>
      </c>
      <c r="C41" s="6">
        <v>1030</v>
      </c>
      <c r="D41" s="6">
        <v>1235.0999999999999</v>
      </c>
      <c r="E41" s="10">
        <f t="shared" si="1"/>
        <v>205.09999999999991</v>
      </c>
      <c r="F41" s="13">
        <v>1</v>
      </c>
    </row>
    <row r="42" spans="1:6" x14ac:dyDescent="0.25">
      <c r="A42" s="4" t="s">
        <v>13</v>
      </c>
      <c r="B42" s="5">
        <v>6</v>
      </c>
      <c r="C42" s="6">
        <v>3180</v>
      </c>
      <c r="D42" s="6">
        <v>3375.61</v>
      </c>
      <c r="E42" s="10">
        <f t="shared" si="1"/>
        <v>195.61000000000013</v>
      </c>
      <c r="F42" s="13">
        <v>1</v>
      </c>
    </row>
    <row r="43" spans="1:6" x14ac:dyDescent="0.25">
      <c r="A43" s="4" t="s">
        <v>96</v>
      </c>
      <c r="B43" s="5">
        <v>6</v>
      </c>
      <c r="C43" s="6">
        <v>3180</v>
      </c>
      <c r="D43" s="6">
        <v>3366.22</v>
      </c>
      <c r="E43" s="10">
        <f t="shared" si="1"/>
        <v>186.2199999999998</v>
      </c>
      <c r="F43" s="13">
        <v>1</v>
      </c>
    </row>
    <row r="44" spans="1:6" x14ac:dyDescent="0.25">
      <c r="A44" s="4" t="s">
        <v>52</v>
      </c>
      <c r="B44" s="5">
        <v>6</v>
      </c>
      <c r="C44" s="6">
        <v>3180</v>
      </c>
      <c r="D44" s="6">
        <v>3366.22</v>
      </c>
      <c r="E44" s="10">
        <f t="shared" si="1"/>
        <v>186.2199999999998</v>
      </c>
      <c r="F44" s="13">
        <v>1</v>
      </c>
    </row>
    <row r="45" spans="1:6" x14ac:dyDescent="0.25">
      <c r="A45" s="4" t="s">
        <v>62</v>
      </c>
      <c r="B45" s="5">
        <v>6</v>
      </c>
      <c r="C45" s="6">
        <v>3180</v>
      </c>
      <c r="D45" s="6">
        <v>3366.22</v>
      </c>
      <c r="E45" s="10">
        <f t="shared" si="1"/>
        <v>186.2199999999998</v>
      </c>
      <c r="F45" s="13">
        <v>1</v>
      </c>
    </row>
    <row r="46" spans="1:6" x14ac:dyDescent="0.25">
      <c r="A46" s="4" t="s">
        <v>101</v>
      </c>
      <c r="B46" s="5">
        <v>6</v>
      </c>
      <c r="C46" s="6">
        <v>3180</v>
      </c>
      <c r="D46" s="6">
        <v>3366.22</v>
      </c>
      <c r="E46" s="10">
        <f t="shared" si="1"/>
        <v>186.2199999999998</v>
      </c>
      <c r="F46" s="13">
        <v>1</v>
      </c>
    </row>
    <row r="47" spans="1:6" x14ac:dyDescent="0.25">
      <c r="A47" s="4" t="s">
        <v>50</v>
      </c>
      <c r="B47" s="5">
        <v>1</v>
      </c>
      <c r="C47" s="6">
        <v>530</v>
      </c>
      <c r="D47" s="6">
        <v>693.51</v>
      </c>
      <c r="E47" s="10">
        <f t="shared" si="1"/>
        <v>163.51</v>
      </c>
      <c r="F47" s="13">
        <v>1</v>
      </c>
    </row>
    <row r="48" spans="1:6" x14ac:dyDescent="0.25">
      <c r="A48" s="4" t="s">
        <v>81</v>
      </c>
      <c r="B48" s="5">
        <v>5</v>
      </c>
      <c r="C48" s="6">
        <v>2174.75</v>
      </c>
      <c r="D48" s="6">
        <v>2316.16</v>
      </c>
      <c r="E48" s="10">
        <f t="shared" si="1"/>
        <v>141.40999999999985</v>
      </c>
      <c r="F48" s="13">
        <v>1</v>
      </c>
    </row>
    <row r="49" spans="1:6" x14ac:dyDescent="0.25">
      <c r="A49" s="4" t="s">
        <v>97</v>
      </c>
      <c r="B49" s="5">
        <v>6</v>
      </c>
      <c r="C49" s="6">
        <v>3238.68</v>
      </c>
      <c r="D49" s="6">
        <v>3368.58</v>
      </c>
      <c r="E49" s="10">
        <f t="shared" si="1"/>
        <v>129.90000000000009</v>
      </c>
      <c r="F49" s="13">
        <v>1</v>
      </c>
    </row>
    <row r="50" spans="1:6" x14ac:dyDescent="0.25">
      <c r="A50" s="4" t="s">
        <v>82</v>
      </c>
      <c r="B50" s="5">
        <v>7</v>
      </c>
      <c r="C50" s="6">
        <v>2268.8000000000002</v>
      </c>
      <c r="D50" s="6">
        <v>2383.81</v>
      </c>
      <c r="E50" s="10">
        <f t="shared" si="1"/>
        <v>115.00999999999976</v>
      </c>
      <c r="F50" s="13">
        <v>1</v>
      </c>
    </row>
    <row r="51" spans="1:6" x14ac:dyDescent="0.25">
      <c r="A51" s="4" t="s">
        <v>11</v>
      </c>
      <c r="B51" s="5">
        <v>1</v>
      </c>
      <c r="C51" s="6">
        <v>530</v>
      </c>
      <c r="D51" s="6">
        <v>643.80999999999995</v>
      </c>
      <c r="E51" s="10">
        <f t="shared" si="1"/>
        <v>113.80999999999995</v>
      </c>
      <c r="F51" s="13">
        <v>1</v>
      </c>
    </row>
    <row r="52" spans="1:6" x14ac:dyDescent="0.25">
      <c r="A52" s="4" t="s">
        <v>3</v>
      </c>
      <c r="B52" s="5">
        <v>4</v>
      </c>
      <c r="C52" s="6">
        <v>2120</v>
      </c>
      <c r="D52" s="6">
        <v>2230.5300000000002</v>
      </c>
      <c r="E52" s="10">
        <f t="shared" si="1"/>
        <v>110.5300000000002</v>
      </c>
      <c r="F52" s="13">
        <v>1</v>
      </c>
    </row>
    <row r="53" spans="1:6" x14ac:dyDescent="0.25">
      <c r="A53" s="4" t="s">
        <v>74</v>
      </c>
      <c r="B53" s="5">
        <v>4</v>
      </c>
      <c r="C53" s="6">
        <v>2120</v>
      </c>
      <c r="D53" s="6">
        <v>2230.5300000000002</v>
      </c>
      <c r="E53" s="10">
        <f t="shared" si="1"/>
        <v>110.5300000000002</v>
      </c>
      <c r="F53" s="13">
        <v>1</v>
      </c>
    </row>
    <row r="54" spans="1:6" x14ac:dyDescent="0.25">
      <c r="A54" s="4" t="s">
        <v>30</v>
      </c>
      <c r="B54" s="5">
        <v>6</v>
      </c>
      <c r="C54" s="6">
        <v>2097.3000000000002</v>
      </c>
      <c r="D54" s="6">
        <v>2198.96</v>
      </c>
      <c r="E54" s="10">
        <f t="shared" si="1"/>
        <v>101.65999999999985</v>
      </c>
      <c r="F54" s="13">
        <v>1</v>
      </c>
    </row>
    <row r="55" spans="1:6" x14ac:dyDescent="0.25">
      <c r="A55" s="4" t="s">
        <v>102</v>
      </c>
      <c r="B55" s="5">
        <v>3</v>
      </c>
      <c r="C55" s="6">
        <v>1590</v>
      </c>
      <c r="D55" s="6">
        <v>1686.66</v>
      </c>
      <c r="E55" s="10">
        <f t="shared" si="1"/>
        <v>96.660000000000082</v>
      </c>
      <c r="F55" s="13">
        <v>1</v>
      </c>
    </row>
    <row r="56" spans="1:6" x14ac:dyDescent="0.25">
      <c r="A56" s="4" t="s">
        <v>55</v>
      </c>
      <c r="B56" s="5">
        <v>2</v>
      </c>
      <c r="C56" s="6">
        <v>1060</v>
      </c>
      <c r="D56" s="6">
        <v>1147.6400000000001</v>
      </c>
      <c r="E56" s="10">
        <f t="shared" si="1"/>
        <v>87.6400000000001</v>
      </c>
      <c r="F56" s="13">
        <v>1</v>
      </c>
    </row>
    <row r="57" spans="1:6" x14ac:dyDescent="0.25">
      <c r="A57" s="4" t="s">
        <v>76</v>
      </c>
      <c r="B57" s="5">
        <v>2</v>
      </c>
      <c r="C57" s="6">
        <v>2114.41</v>
      </c>
      <c r="D57" s="6">
        <v>2196.92</v>
      </c>
      <c r="E57" s="10">
        <f t="shared" si="1"/>
        <v>82.510000000000218</v>
      </c>
      <c r="F57" s="13">
        <v>1</v>
      </c>
    </row>
    <row r="58" spans="1:6" x14ac:dyDescent="0.25">
      <c r="A58" s="4" t="s">
        <v>106</v>
      </c>
      <c r="B58" s="5">
        <v>4</v>
      </c>
      <c r="C58" s="6">
        <v>1714.04</v>
      </c>
      <c r="D58" s="6">
        <v>1793.1</v>
      </c>
      <c r="E58" s="10">
        <f t="shared" si="1"/>
        <v>79.059999999999945</v>
      </c>
      <c r="F58" s="13">
        <v>1</v>
      </c>
    </row>
    <row r="59" spans="1:6" x14ac:dyDescent="0.25">
      <c r="A59" s="4" t="s">
        <v>78</v>
      </c>
      <c r="B59" s="5">
        <v>2</v>
      </c>
      <c r="C59" s="6">
        <v>1186.73</v>
      </c>
      <c r="D59" s="6">
        <v>1265.44</v>
      </c>
      <c r="E59" s="10">
        <f t="shared" si="1"/>
        <v>78.710000000000036</v>
      </c>
      <c r="F59" s="13">
        <v>1</v>
      </c>
    </row>
    <row r="60" spans="1:6" x14ac:dyDescent="0.25">
      <c r="A60" s="4" t="s">
        <v>98</v>
      </c>
      <c r="B60" s="5">
        <v>3</v>
      </c>
      <c r="C60" s="6">
        <v>1590</v>
      </c>
      <c r="D60" s="6">
        <v>1667.87</v>
      </c>
      <c r="E60" s="10">
        <f t="shared" si="1"/>
        <v>77.869999999999891</v>
      </c>
      <c r="F60" s="13">
        <v>1</v>
      </c>
    </row>
    <row r="61" spans="1:6" x14ac:dyDescent="0.25">
      <c r="A61" s="4" t="s">
        <v>46</v>
      </c>
      <c r="B61" s="5">
        <v>1</v>
      </c>
      <c r="C61" s="6">
        <v>530</v>
      </c>
      <c r="D61" s="6">
        <v>599.4</v>
      </c>
      <c r="E61" s="10">
        <f t="shared" si="1"/>
        <v>69.399999999999977</v>
      </c>
      <c r="F61" s="13">
        <v>1</v>
      </c>
    </row>
    <row r="62" spans="1:6" x14ac:dyDescent="0.25">
      <c r="A62" s="4" t="s">
        <v>100</v>
      </c>
      <c r="B62" s="5">
        <v>2</v>
      </c>
      <c r="C62" s="6">
        <v>1060</v>
      </c>
      <c r="D62" s="6">
        <v>1127.69</v>
      </c>
      <c r="E62" s="10">
        <f t="shared" si="1"/>
        <v>67.690000000000055</v>
      </c>
      <c r="F62" s="13">
        <v>1</v>
      </c>
    </row>
    <row r="63" spans="1:6" x14ac:dyDescent="0.25">
      <c r="A63" s="4" t="s">
        <v>90</v>
      </c>
      <c r="B63" s="5">
        <v>2</v>
      </c>
      <c r="C63" s="6">
        <v>1060</v>
      </c>
      <c r="D63" s="6">
        <v>1108.9000000000001</v>
      </c>
      <c r="E63" s="10">
        <f t="shared" si="1"/>
        <v>48.900000000000091</v>
      </c>
      <c r="F63" s="13">
        <v>1</v>
      </c>
    </row>
    <row r="64" spans="1:6" x14ac:dyDescent="0.25">
      <c r="A64" s="4" t="s">
        <v>95</v>
      </c>
      <c r="B64" s="5">
        <v>1</v>
      </c>
      <c r="C64" s="6">
        <v>1060</v>
      </c>
      <c r="D64" s="6">
        <v>1108.9000000000001</v>
      </c>
      <c r="E64" s="10">
        <f t="shared" ref="E64:E82" si="2">D64-C64</f>
        <v>48.900000000000091</v>
      </c>
      <c r="F64" s="13">
        <v>1</v>
      </c>
    </row>
    <row r="65" spans="1:6" x14ac:dyDescent="0.25">
      <c r="A65" s="4" t="s">
        <v>68</v>
      </c>
      <c r="B65" s="5">
        <v>1</v>
      </c>
      <c r="C65" s="6">
        <v>530</v>
      </c>
      <c r="D65" s="6">
        <v>578.13</v>
      </c>
      <c r="E65" s="10">
        <f t="shared" si="2"/>
        <v>48.129999999999995</v>
      </c>
      <c r="F65" s="13">
        <v>1</v>
      </c>
    </row>
    <row r="66" spans="1:6" x14ac:dyDescent="0.25">
      <c r="A66" s="4" t="s">
        <v>70</v>
      </c>
      <c r="B66" s="5">
        <v>1</v>
      </c>
      <c r="C66" s="6">
        <v>530</v>
      </c>
      <c r="D66" s="6">
        <v>578.13</v>
      </c>
      <c r="E66" s="10">
        <f t="shared" si="2"/>
        <v>48.129999999999995</v>
      </c>
      <c r="F66" s="13">
        <v>1</v>
      </c>
    </row>
    <row r="67" spans="1:6" x14ac:dyDescent="0.25">
      <c r="A67" s="4" t="s">
        <v>71</v>
      </c>
      <c r="B67" s="5">
        <v>1</v>
      </c>
      <c r="C67" s="6">
        <v>530</v>
      </c>
      <c r="D67" s="6">
        <v>578.13</v>
      </c>
      <c r="E67" s="10">
        <f t="shared" si="2"/>
        <v>48.129999999999995</v>
      </c>
      <c r="F67" s="13">
        <v>1</v>
      </c>
    </row>
    <row r="68" spans="1:6" x14ac:dyDescent="0.25">
      <c r="A68" s="4" t="s">
        <v>85</v>
      </c>
      <c r="B68" s="5">
        <v>1</v>
      </c>
      <c r="C68" s="6">
        <v>530</v>
      </c>
      <c r="D68" s="6">
        <v>575.96</v>
      </c>
      <c r="E68" s="10">
        <f t="shared" si="2"/>
        <v>45.960000000000036</v>
      </c>
      <c r="F68" s="13">
        <v>1</v>
      </c>
    </row>
    <row r="69" spans="1:6" x14ac:dyDescent="0.25">
      <c r="A69" s="4" t="s">
        <v>37</v>
      </c>
      <c r="B69" s="5">
        <v>1</v>
      </c>
      <c r="C69" s="6">
        <v>530</v>
      </c>
      <c r="D69" s="6">
        <v>571.67999999999995</v>
      </c>
      <c r="E69" s="10">
        <f t="shared" si="2"/>
        <v>41.67999999999995</v>
      </c>
      <c r="F69" s="13">
        <v>1</v>
      </c>
    </row>
    <row r="70" spans="1:6" x14ac:dyDescent="0.25">
      <c r="A70" s="4" t="s">
        <v>86</v>
      </c>
      <c r="B70" s="5">
        <v>1</v>
      </c>
      <c r="C70" s="6">
        <v>530</v>
      </c>
      <c r="D70" s="6">
        <v>571.67999999999995</v>
      </c>
      <c r="E70" s="10">
        <f t="shared" si="2"/>
        <v>41.67999999999995</v>
      </c>
      <c r="F70" s="13">
        <v>1</v>
      </c>
    </row>
    <row r="71" spans="1:6" x14ac:dyDescent="0.25">
      <c r="A71" s="4" t="s">
        <v>91</v>
      </c>
      <c r="B71" s="5">
        <v>1</v>
      </c>
      <c r="C71" s="6">
        <v>530</v>
      </c>
      <c r="D71" s="6">
        <v>566.57000000000005</v>
      </c>
      <c r="E71" s="10">
        <f t="shared" si="2"/>
        <v>36.57000000000005</v>
      </c>
      <c r="F71" s="13">
        <v>1</v>
      </c>
    </row>
    <row r="72" spans="1:6" x14ac:dyDescent="0.25">
      <c r="A72" s="4" t="s">
        <v>92</v>
      </c>
      <c r="B72" s="5">
        <v>1</v>
      </c>
      <c r="C72" s="6">
        <v>530</v>
      </c>
      <c r="D72" s="6">
        <v>566.57000000000005</v>
      </c>
      <c r="E72" s="10">
        <f t="shared" si="2"/>
        <v>36.57000000000005</v>
      </c>
      <c r="F72" s="13">
        <v>1</v>
      </c>
    </row>
    <row r="73" spans="1:6" x14ac:dyDescent="0.25">
      <c r="A73" s="4" t="s">
        <v>93</v>
      </c>
      <c r="B73" s="5">
        <v>1</v>
      </c>
      <c r="C73" s="6">
        <v>530</v>
      </c>
      <c r="D73" s="6">
        <v>566.57000000000005</v>
      </c>
      <c r="E73" s="10">
        <f t="shared" si="2"/>
        <v>36.57000000000005</v>
      </c>
      <c r="F73" s="13">
        <v>1</v>
      </c>
    </row>
    <row r="74" spans="1:6" x14ac:dyDescent="0.25">
      <c r="A74" s="4" t="s">
        <v>103</v>
      </c>
      <c r="B74" s="5">
        <v>1</v>
      </c>
      <c r="C74" s="6">
        <v>530</v>
      </c>
      <c r="D74" s="6">
        <v>558.97</v>
      </c>
      <c r="E74" s="10">
        <f t="shared" si="2"/>
        <v>28.970000000000027</v>
      </c>
      <c r="F74" s="13">
        <v>1</v>
      </c>
    </row>
    <row r="75" spans="1:6" x14ac:dyDescent="0.25">
      <c r="A75" s="4" t="s">
        <v>99</v>
      </c>
      <c r="B75" s="5">
        <v>1</v>
      </c>
      <c r="C75" s="6">
        <v>530</v>
      </c>
      <c r="D75" s="6">
        <v>558.57000000000005</v>
      </c>
      <c r="E75" s="10">
        <f t="shared" si="2"/>
        <v>28.57000000000005</v>
      </c>
      <c r="F75" s="13">
        <v>1</v>
      </c>
    </row>
    <row r="76" spans="1:6" x14ac:dyDescent="0.25">
      <c r="A76" s="4" t="s">
        <v>105</v>
      </c>
      <c r="B76" s="5">
        <v>1</v>
      </c>
      <c r="C76" s="6">
        <v>530</v>
      </c>
      <c r="D76" s="6">
        <v>558.57000000000005</v>
      </c>
      <c r="E76" s="10">
        <f t="shared" si="2"/>
        <v>28.57000000000005</v>
      </c>
      <c r="F76" s="13">
        <v>1</v>
      </c>
    </row>
    <row r="77" spans="1:6" x14ac:dyDescent="0.25">
      <c r="A77" s="4" t="s">
        <v>0</v>
      </c>
      <c r="B77" s="5">
        <v>1</v>
      </c>
      <c r="C77" s="6">
        <v>625.36</v>
      </c>
      <c r="D77" s="6">
        <v>646.95000000000005</v>
      </c>
      <c r="E77" s="10">
        <f t="shared" si="2"/>
        <v>21.590000000000032</v>
      </c>
      <c r="F77" s="13">
        <v>1</v>
      </c>
    </row>
    <row r="78" spans="1:6" x14ac:dyDescent="0.25">
      <c r="A78" s="4" t="s">
        <v>89</v>
      </c>
      <c r="B78" s="5">
        <v>1</v>
      </c>
      <c r="C78" s="6">
        <v>530</v>
      </c>
      <c r="D78" s="6">
        <v>550.33000000000004</v>
      </c>
      <c r="E78" s="10">
        <f t="shared" si="2"/>
        <v>20.330000000000041</v>
      </c>
      <c r="F78" s="13">
        <v>1</v>
      </c>
    </row>
    <row r="79" spans="1:6" x14ac:dyDescent="0.25">
      <c r="A79" s="4" t="s">
        <v>21</v>
      </c>
      <c r="B79" s="5">
        <v>1</v>
      </c>
      <c r="C79" s="6">
        <v>530</v>
      </c>
      <c r="D79" s="6">
        <v>550.33000000000004</v>
      </c>
      <c r="E79" s="10">
        <f t="shared" si="2"/>
        <v>20.330000000000041</v>
      </c>
      <c r="F79" s="13">
        <v>1</v>
      </c>
    </row>
    <row r="80" spans="1:6" x14ac:dyDescent="0.25">
      <c r="A80" s="4" t="s">
        <v>22</v>
      </c>
      <c r="B80" s="5">
        <v>1</v>
      </c>
      <c r="C80" s="6">
        <v>530</v>
      </c>
      <c r="D80" s="6">
        <v>550.33000000000004</v>
      </c>
      <c r="E80" s="10">
        <f t="shared" si="2"/>
        <v>20.330000000000041</v>
      </c>
      <c r="F80" s="13">
        <v>1</v>
      </c>
    </row>
    <row r="81" spans="1:6" x14ac:dyDescent="0.25">
      <c r="A81" s="4" t="s">
        <v>94</v>
      </c>
      <c r="B81" s="5">
        <v>1</v>
      </c>
      <c r="C81" s="6">
        <v>530</v>
      </c>
      <c r="D81" s="6">
        <v>550.33000000000004</v>
      </c>
      <c r="E81" s="10">
        <f t="shared" si="2"/>
        <v>20.330000000000041</v>
      </c>
      <c r="F81" s="13">
        <v>1</v>
      </c>
    </row>
    <row r="82" spans="1:6" x14ac:dyDescent="0.25">
      <c r="A82" s="4" t="s">
        <v>104</v>
      </c>
      <c r="B82" s="5">
        <v>1</v>
      </c>
      <c r="C82" s="6">
        <v>551.14</v>
      </c>
      <c r="D82" s="6">
        <v>570.07000000000005</v>
      </c>
      <c r="E82" s="10">
        <f t="shared" si="2"/>
        <v>18.930000000000064</v>
      </c>
      <c r="F82" s="13">
        <v>1</v>
      </c>
    </row>
    <row r="83" spans="1:6" x14ac:dyDescent="0.25">
      <c r="F83" s="11">
        <f>SUM(F5:F82)</f>
        <v>78</v>
      </c>
    </row>
    <row r="84" spans="1:6" x14ac:dyDescent="0.25">
      <c r="F84" s="14">
        <f>F83/549</f>
        <v>0.14207650273224043</v>
      </c>
    </row>
  </sheetData>
  <sortState xmlns:xlrd2="http://schemas.microsoft.com/office/spreadsheetml/2017/richdata2" ref="A5:E82">
    <sortCondition descending="1" ref="E5:E82"/>
  </sortState>
  <mergeCells count="2">
    <mergeCell ref="A1:E1"/>
    <mergeCell ref="A2:D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FBB2-4931-4EBC-933E-783D88EF5478}">
  <dimension ref="A1:N550"/>
  <sheetViews>
    <sheetView tabSelected="1" workbookViewId="0">
      <selection activeCell="M5" sqref="M5:M6"/>
    </sheetView>
  </sheetViews>
  <sheetFormatPr defaultColWidth="38.140625" defaultRowHeight="15" x14ac:dyDescent="0.25"/>
  <cols>
    <col min="1" max="1" width="11.28515625" bestFit="1" customWidth="1"/>
    <col min="2" max="2" width="17.5703125" bestFit="1" customWidth="1"/>
    <col min="3" max="3" width="38.28515625" bestFit="1" customWidth="1"/>
    <col min="4" max="4" width="17.28515625" bestFit="1" customWidth="1"/>
    <col min="5" max="5" width="8.5703125" bestFit="1" customWidth="1"/>
    <col min="6" max="6" width="10.5703125" bestFit="1" customWidth="1"/>
    <col min="7" max="7" width="19.28515625" bestFit="1" customWidth="1"/>
    <col min="8" max="8" width="11.85546875" bestFit="1" customWidth="1"/>
    <col min="9" max="9" width="11.28515625" bestFit="1" customWidth="1"/>
    <col min="10" max="10" width="10.85546875" bestFit="1" customWidth="1"/>
    <col min="11" max="11" width="24.28515625" style="1" bestFit="1" customWidth="1"/>
    <col min="12" max="12" width="24.5703125" bestFit="1" customWidth="1"/>
    <col min="13" max="13" width="14.28515625" bestFit="1" customWidth="1"/>
    <col min="14" max="14" width="11.42578125" style="2" bestFit="1" customWidth="1"/>
  </cols>
  <sheetData>
    <row r="1" spans="1:14" x14ac:dyDescent="0.25">
      <c r="B1" s="4"/>
      <c r="C1" s="4"/>
      <c r="D1" s="4"/>
      <c r="E1" s="4"/>
      <c r="F1" s="4"/>
      <c r="G1" s="4"/>
      <c r="H1" s="4"/>
      <c r="I1" s="4"/>
      <c r="J1" s="4"/>
      <c r="K1" s="30">
        <f>SUM(K3:K550)</f>
        <v>3377637.0000000028</v>
      </c>
      <c r="L1" s="30">
        <f>SUM(L3:L550)</f>
        <v>3524023.2399999998</v>
      </c>
      <c r="M1" s="30">
        <f>L1-K1</f>
        <v>146386.23999999696</v>
      </c>
      <c r="N1" s="5"/>
    </row>
    <row r="2" spans="1:14" ht="21.75" customHeight="1" x14ac:dyDescent="0.25">
      <c r="A2" s="15" t="s">
        <v>1584</v>
      </c>
      <c r="B2" s="15" t="s">
        <v>107</v>
      </c>
      <c r="C2" s="15" t="s">
        <v>108</v>
      </c>
      <c r="D2" s="15" t="s">
        <v>109</v>
      </c>
      <c r="E2" s="15" t="s">
        <v>110</v>
      </c>
      <c r="F2" s="15" t="s">
        <v>111</v>
      </c>
      <c r="G2" s="15" t="s">
        <v>112</v>
      </c>
      <c r="H2" s="15" t="s">
        <v>113</v>
      </c>
      <c r="I2" s="15" t="s">
        <v>114</v>
      </c>
      <c r="J2" s="15" t="s">
        <v>1128</v>
      </c>
      <c r="K2" s="32" t="s">
        <v>1129</v>
      </c>
      <c r="L2" s="33" t="s">
        <v>1130</v>
      </c>
      <c r="M2" s="15" t="s">
        <v>1580</v>
      </c>
      <c r="N2" s="15" t="s">
        <v>1581</v>
      </c>
    </row>
    <row r="3" spans="1:14" x14ac:dyDescent="0.25">
      <c r="A3" s="34"/>
      <c r="B3" s="16" t="s">
        <v>115</v>
      </c>
      <c r="C3" s="17" t="s">
        <v>797</v>
      </c>
      <c r="D3" s="17" t="s">
        <v>767</v>
      </c>
      <c r="E3" s="18">
        <v>16</v>
      </c>
      <c r="F3" s="18">
        <v>2</v>
      </c>
      <c r="G3" s="17" t="s">
        <v>118</v>
      </c>
      <c r="H3" s="18">
        <v>8</v>
      </c>
      <c r="I3" s="19"/>
      <c r="J3" s="4" t="str">
        <f>"OR" &amp; TEXT(E3, "000")</f>
        <v>OR016</v>
      </c>
      <c r="K3" s="6">
        <f>IFERROR(VLOOKUP(J3,'Inadimplencia - FEV 2025'!$A$5:$E$85,4,0),"0")</f>
        <v>1957145.56</v>
      </c>
      <c r="L3" s="6">
        <f>IFERROR(VLOOKUP(J3,'Inadimplencia - Out 2025'!$A$5:$E$85,4,0),"0")</f>
        <v>2026502.17</v>
      </c>
      <c r="M3" s="31">
        <f>L3-K3</f>
        <v>69356.60999999987</v>
      </c>
      <c r="N3" s="40" t="str">
        <f>IF(L3&gt;K3,"AUMENTOU","DIMINUIU")</f>
        <v>AUMENTOU</v>
      </c>
    </row>
    <row r="4" spans="1:14" x14ac:dyDescent="0.25">
      <c r="A4" s="34"/>
      <c r="B4" s="20" t="s">
        <v>119</v>
      </c>
      <c r="C4" s="21" t="s">
        <v>756</v>
      </c>
      <c r="D4" s="21" t="s">
        <v>654</v>
      </c>
      <c r="E4" s="22">
        <v>52</v>
      </c>
      <c r="F4" s="22">
        <v>2</v>
      </c>
      <c r="G4" s="21" t="s">
        <v>118</v>
      </c>
      <c r="H4" s="22">
        <v>8</v>
      </c>
      <c r="I4" s="19"/>
      <c r="J4" s="4" t="str">
        <f>"JA" &amp; TEXT(E4, "000")</f>
        <v>JA052</v>
      </c>
      <c r="K4" s="6">
        <f>IFERROR(VLOOKUP(J4,'Inadimplencia - FEV 2025'!$A$5:$E$85,4,0),"0")</f>
        <v>708179.44</v>
      </c>
      <c r="L4" s="6">
        <f>IFERROR(VLOOKUP(J4,'Inadimplencia - Out 2025'!$A$5:$E$85,4,0),"0")</f>
        <v>750018.05</v>
      </c>
      <c r="M4" s="31">
        <f>L4-K4</f>
        <v>41838.610000000102</v>
      </c>
      <c r="N4" s="40" t="str">
        <f t="shared" ref="N4:N64" si="0">IF(L4&gt;K4,"AUMENTOU","DIMINUIU")</f>
        <v>AUMENTOU</v>
      </c>
    </row>
    <row r="5" spans="1:14" x14ac:dyDescent="0.25">
      <c r="A5" s="34"/>
      <c r="B5" s="16" t="s">
        <v>121</v>
      </c>
      <c r="C5" s="27" t="s">
        <v>777</v>
      </c>
      <c r="D5" s="27" t="s">
        <v>767</v>
      </c>
      <c r="E5" s="28">
        <v>6</v>
      </c>
      <c r="F5" s="28">
        <v>2</v>
      </c>
      <c r="G5" s="27" t="s">
        <v>118</v>
      </c>
      <c r="H5" s="28">
        <v>8</v>
      </c>
      <c r="I5" s="19"/>
      <c r="J5" s="4" t="str">
        <f>"OR" &amp; TEXT(E5, "000")</f>
        <v>OR006</v>
      </c>
      <c r="K5" s="6">
        <f>IFERROR(VLOOKUP(J5,'Inadimplencia - FEV 2025'!$A$5:$E$85,4,0),"0")</f>
        <v>290586.5</v>
      </c>
      <c r="L5" s="6">
        <f>IFERROR(VLOOKUP(J5,'Inadimplencia - Out 2025'!$A$5:$E$85,4,0),"0")</f>
        <v>311541.51</v>
      </c>
      <c r="M5" s="31">
        <f>L5-K5</f>
        <v>20955.010000000009</v>
      </c>
      <c r="N5" s="40" t="str">
        <f t="shared" si="0"/>
        <v>AUMENTOU</v>
      </c>
    </row>
    <row r="6" spans="1:14" x14ac:dyDescent="0.25">
      <c r="A6" s="34"/>
      <c r="B6" s="16" t="s">
        <v>125</v>
      </c>
      <c r="C6" s="17" t="s">
        <v>551</v>
      </c>
      <c r="D6" s="17" t="s">
        <v>513</v>
      </c>
      <c r="E6" s="18">
        <v>22</v>
      </c>
      <c r="F6" s="18">
        <v>2</v>
      </c>
      <c r="G6" s="17" t="s">
        <v>118</v>
      </c>
      <c r="H6" s="18">
        <v>8</v>
      </c>
      <c r="I6" s="19"/>
      <c r="J6" s="4" t="str">
        <f>"GA" &amp; TEXT(E6, "000")</f>
        <v>GA022</v>
      </c>
      <c r="K6" s="6">
        <f>IFERROR(VLOOKUP(J6,'Inadimplencia - FEV 2025'!$A$5:$E$85,4,0),"0")</f>
        <v>39786.050000000003</v>
      </c>
      <c r="L6" s="6">
        <f>IFERROR(VLOOKUP(J6,'Inadimplencia - Out 2025'!$A$5:$E$85,4,0),"0")</f>
        <v>42078.51</v>
      </c>
      <c r="M6" s="31">
        <f>L6-K6</f>
        <v>2292.4599999999991</v>
      </c>
      <c r="N6" s="40" t="str">
        <f t="shared" si="0"/>
        <v>AUMENTOU</v>
      </c>
    </row>
    <row r="7" spans="1:14" x14ac:dyDescent="0.25">
      <c r="A7" s="34"/>
      <c r="B7" s="16" t="s">
        <v>127</v>
      </c>
      <c r="C7" s="21" t="s">
        <v>135</v>
      </c>
      <c r="D7" s="21" t="s">
        <v>117</v>
      </c>
      <c r="E7" s="22">
        <v>10</v>
      </c>
      <c r="F7" s="22">
        <v>2</v>
      </c>
      <c r="G7" s="21" t="s">
        <v>118</v>
      </c>
      <c r="H7" s="22">
        <v>8</v>
      </c>
      <c r="I7" s="19"/>
      <c r="J7" s="4" t="str">
        <f>"AZ" &amp; TEXT(E7, "000")</f>
        <v>AZ010</v>
      </c>
      <c r="K7" s="6">
        <f>IFERROR(VLOOKUP(J7,'Inadimplencia - FEV 2025'!$A$5:$E$85,4,0),"0")</f>
        <v>26509.09</v>
      </c>
      <c r="L7" s="6">
        <f>IFERROR(VLOOKUP(J7,'Inadimplencia - Out 2025'!$A$5:$E$85,4,0),"0")</f>
        <v>31815.66</v>
      </c>
      <c r="M7" s="31">
        <f t="shared" ref="M7:M70" si="1">L7-K7</f>
        <v>5306.57</v>
      </c>
      <c r="N7" s="40" t="str">
        <f t="shared" si="0"/>
        <v>AUMENTOU</v>
      </c>
    </row>
    <row r="8" spans="1:14" x14ac:dyDescent="0.25">
      <c r="A8" s="34"/>
      <c r="B8" s="16" t="s">
        <v>129</v>
      </c>
      <c r="C8" s="17" t="s">
        <v>875</v>
      </c>
      <c r="D8" s="17" t="s">
        <v>767</v>
      </c>
      <c r="E8" s="18">
        <v>60</v>
      </c>
      <c r="F8" s="18">
        <v>2</v>
      </c>
      <c r="G8" s="17" t="s">
        <v>118</v>
      </c>
      <c r="H8" s="18">
        <v>8</v>
      </c>
      <c r="I8" s="19"/>
      <c r="J8" s="4" t="str">
        <f>"OR" &amp; TEXT(E8, "000")</f>
        <v>OR060</v>
      </c>
      <c r="K8" s="6">
        <f>IFERROR(VLOOKUP(J8,'Inadimplencia - FEV 2025'!$A$5:$E$85,4,0),"0")</f>
        <v>24521.38</v>
      </c>
      <c r="L8" s="6">
        <f>IFERROR(VLOOKUP(J8,'Inadimplencia - Out 2025'!$A$5:$E$85,4,0),"0")</f>
        <v>26113.46</v>
      </c>
      <c r="M8" s="31">
        <f t="shared" si="1"/>
        <v>1592.0799999999981</v>
      </c>
      <c r="N8" s="40" t="str">
        <f t="shared" si="0"/>
        <v>AUMENTOU</v>
      </c>
    </row>
    <row r="9" spans="1:14" x14ac:dyDescent="0.25">
      <c r="A9" s="34"/>
      <c r="B9" s="20" t="s">
        <v>131</v>
      </c>
      <c r="C9" s="17" t="s">
        <v>116</v>
      </c>
      <c r="D9" s="17" t="s">
        <v>117</v>
      </c>
      <c r="E9" s="18">
        <v>1</v>
      </c>
      <c r="F9" s="18">
        <v>2</v>
      </c>
      <c r="G9" s="17" t="s">
        <v>118</v>
      </c>
      <c r="H9" s="18">
        <v>8</v>
      </c>
      <c r="I9" s="19"/>
      <c r="J9" s="4" t="str">
        <f>"AZ" &amp; TEXT(E9, "000")</f>
        <v>AZ001</v>
      </c>
      <c r="K9" s="6">
        <f>IFERROR(VLOOKUP(J9,'Inadimplencia - FEV 2025'!$A$5:$E$85,4,0),"0")</f>
        <v>16769.169999999998</v>
      </c>
      <c r="L9" s="6">
        <f>IFERROR(VLOOKUP(J9,'Inadimplencia - Out 2025'!$A$5:$E$85,4,0),"0")</f>
        <v>28968.949999999997</v>
      </c>
      <c r="M9" s="31">
        <f t="shared" si="1"/>
        <v>12199.779999999999</v>
      </c>
      <c r="N9" s="40" t="str">
        <f t="shared" si="0"/>
        <v>AUMENTOU</v>
      </c>
    </row>
    <row r="10" spans="1:14" x14ac:dyDescent="0.25">
      <c r="A10" s="34"/>
      <c r="B10" s="16" t="s">
        <v>131</v>
      </c>
      <c r="C10" s="21" t="s">
        <v>291</v>
      </c>
      <c r="D10" s="21" t="s">
        <v>951</v>
      </c>
      <c r="E10" s="22">
        <v>57</v>
      </c>
      <c r="F10" s="22">
        <v>2</v>
      </c>
      <c r="G10" s="21" t="s">
        <v>133</v>
      </c>
      <c r="H10" s="22">
        <v>8</v>
      </c>
      <c r="I10" s="19"/>
      <c r="J10" s="4" t="str">
        <f>"PI" &amp; TEXT(E10, "000")</f>
        <v>PI057</v>
      </c>
      <c r="K10" s="6">
        <f>IFERROR(VLOOKUP(J10,'Inadimplencia - FEV 2025'!$A$5:$E$85,4,0),"0")</f>
        <v>12654.41</v>
      </c>
      <c r="L10" s="6">
        <f>IFERROR(VLOOKUP(J10,'Inadimplencia - Out 2025'!$A$5:$E$85,4,0),"0")</f>
        <v>15565.89</v>
      </c>
      <c r="M10" s="31">
        <f t="shared" si="1"/>
        <v>2911.4799999999996</v>
      </c>
      <c r="N10" s="40" t="str">
        <f t="shared" si="0"/>
        <v>AUMENTOU</v>
      </c>
    </row>
    <row r="11" spans="1:14" x14ac:dyDescent="0.25">
      <c r="A11" s="34"/>
      <c r="B11" s="20" t="s">
        <v>134</v>
      </c>
      <c r="C11" s="21" t="s">
        <v>314</v>
      </c>
      <c r="D11" s="21" t="s">
        <v>310</v>
      </c>
      <c r="E11" s="22">
        <v>78</v>
      </c>
      <c r="F11" s="22">
        <v>2</v>
      </c>
      <c r="G11" s="21" t="s">
        <v>133</v>
      </c>
      <c r="H11" s="22">
        <v>8</v>
      </c>
      <c r="I11" s="19"/>
      <c r="J11" s="4" t="str">
        <f>"BO" &amp; TEXT(E11, "000")</f>
        <v>BO078</v>
      </c>
      <c r="K11" s="6">
        <f>IFERROR(VLOOKUP(J11,'Inadimplencia - FEV 2025'!$A$5:$E$85,4,0),"0")</f>
        <v>12220.13</v>
      </c>
      <c r="L11" s="6">
        <f>IFERROR(VLOOKUP(J11,'Inadimplencia - Out 2025'!$A$5:$E$85,4,0),"0")</f>
        <v>17241.53</v>
      </c>
      <c r="M11" s="31">
        <f t="shared" si="1"/>
        <v>5021.3999999999996</v>
      </c>
      <c r="N11" s="40" t="str">
        <f t="shared" si="0"/>
        <v>AUMENTOU</v>
      </c>
    </row>
    <row r="12" spans="1:14" x14ac:dyDescent="0.25">
      <c r="A12" s="34"/>
      <c r="B12" s="20" t="s">
        <v>136</v>
      </c>
      <c r="C12" s="17" t="s">
        <v>718</v>
      </c>
      <c r="D12" s="17" t="s">
        <v>654</v>
      </c>
      <c r="E12" s="18">
        <v>33</v>
      </c>
      <c r="F12" s="18">
        <v>2</v>
      </c>
      <c r="G12" s="17" t="s">
        <v>118</v>
      </c>
      <c r="H12" s="18">
        <v>8</v>
      </c>
      <c r="I12" s="19"/>
      <c r="J12" s="4" t="str">
        <f>"JA" &amp; TEXT(E12, "000")</f>
        <v>JA033</v>
      </c>
      <c r="K12" s="6">
        <f>IFERROR(VLOOKUP(J12,'Inadimplencia - FEV 2025'!$A$5:$E$85,4,0),"0")</f>
        <v>10618.13</v>
      </c>
      <c r="L12" s="6">
        <f>IFERROR(VLOOKUP(J12,'Inadimplencia - Out 2025'!$A$5:$E$85,4,0),"0")</f>
        <v>11775.96</v>
      </c>
      <c r="M12" s="31">
        <f t="shared" si="1"/>
        <v>1157.83</v>
      </c>
      <c r="N12" s="40" t="str">
        <f t="shared" si="0"/>
        <v>AUMENTOU</v>
      </c>
    </row>
    <row r="13" spans="1:14" x14ac:dyDescent="0.25">
      <c r="A13" s="34"/>
      <c r="B13" s="16" t="s">
        <v>138</v>
      </c>
      <c r="C13" s="21" t="s">
        <v>400</v>
      </c>
      <c r="D13" s="21" t="s">
        <v>310</v>
      </c>
      <c r="E13" s="22">
        <v>55</v>
      </c>
      <c r="F13" s="22">
        <v>2</v>
      </c>
      <c r="G13" s="21" t="s">
        <v>118</v>
      </c>
      <c r="H13" s="22">
        <v>8</v>
      </c>
      <c r="I13" s="19"/>
      <c r="J13" s="4" t="str">
        <f>"BO" &amp; TEXT(E13, "000")</f>
        <v>BO055</v>
      </c>
      <c r="K13" s="6">
        <f>IFERROR(VLOOKUP(J13,'Inadimplencia - FEV 2025'!$A$5:$E$85,4,0),"0")</f>
        <v>10583.76</v>
      </c>
      <c r="L13" s="6">
        <f>IFERROR(VLOOKUP(J13,'Inadimplencia - Out 2025'!$A$5:$E$85,4,0),"0")</f>
        <v>23136.52</v>
      </c>
      <c r="M13" s="31">
        <f t="shared" si="1"/>
        <v>12552.76</v>
      </c>
      <c r="N13" s="40" t="str">
        <f t="shared" si="0"/>
        <v>AUMENTOU</v>
      </c>
    </row>
    <row r="14" spans="1:14" ht="25.5" x14ac:dyDescent="0.25">
      <c r="A14" s="34"/>
      <c r="B14" s="16" t="s">
        <v>140</v>
      </c>
      <c r="C14" s="21" t="s">
        <v>132</v>
      </c>
      <c r="D14" s="21" t="s">
        <v>117</v>
      </c>
      <c r="E14" s="22">
        <v>8</v>
      </c>
      <c r="F14" s="22">
        <v>2</v>
      </c>
      <c r="G14" s="21" t="s">
        <v>118</v>
      </c>
      <c r="H14" s="22">
        <v>8</v>
      </c>
      <c r="I14" s="19"/>
      <c r="J14" s="4" t="str">
        <f>"AZ" &amp; TEXT(E14, "000")</f>
        <v>AZ008</v>
      </c>
      <c r="K14" s="6">
        <f>IFERROR(VLOOKUP(J14,'Inadimplencia - FEV 2025'!$A$5:$E$85,4,0),"0")</f>
        <v>9873.3799999999992</v>
      </c>
      <c r="L14" s="6">
        <f>IFERROR(VLOOKUP(J14,'Inadimplencia - Out 2025'!$A$5:$E$85,4,0),"0")</f>
        <v>12140.85</v>
      </c>
      <c r="M14" s="31">
        <f t="shared" si="1"/>
        <v>2267.4700000000012</v>
      </c>
      <c r="N14" s="40" t="str">
        <f t="shared" si="0"/>
        <v>AUMENTOU</v>
      </c>
    </row>
    <row r="15" spans="1:14" x14ac:dyDescent="0.25">
      <c r="A15" s="34"/>
      <c r="B15" s="20" t="s">
        <v>142</v>
      </c>
      <c r="C15" s="21" t="s">
        <v>684</v>
      </c>
      <c r="D15" s="21" t="s">
        <v>654</v>
      </c>
      <c r="E15" s="22">
        <v>16</v>
      </c>
      <c r="F15" s="22">
        <v>2</v>
      </c>
      <c r="G15" s="21" t="s">
        <v>118</v>
      </c>
      <c r="H15" s="22">
        <v>8</v>
      </c>
      <c r="I15" s="19"/>
      <c r="J15" s="4" t="str">
        <f>"JA" &amp; TEXT(E15, "000")</f>
        <v>JA016</v>
      </c>
      <c r="K15" s="6">
        <f>IFERROR(VLOOKUP(J15,'Inadimplencia - FEV 2025'!$A$5:$E$85,4,0),"0")</f>
        <v>9757.44</v>
      </c>
      <c r="L15" s="6">
        <f>IFERROR(VLOOKUP(J15,'Inadimplencia - Out 2025'!$A$5:$E$85,4,0),"0")</f>
        <v>12567.56</v>
      </c>
      <c r="M15" s="31">
        <f t="shared" si="1"/>
        <v>2810.119999999999</v>
      </c>
      <c r="N15" s="40" t="str">
        <f t="shared" si="0"/>
        <v>AUMENTOU</v>
      </c>
    </row>
    <row r="16" spans="1:14" ht="25.5" x14ac:dyDescent="0.25">
      <c r="A16" s="34"/>
      <c r="B16" s="16" t="s">
        <v>146</v>
      </c>
      <c r="C16" s="17" t="s">
        <v>132</v>
      </c>
      <c r="D16" s="17" t="s">
        <v>117</v>
      </c>
      <c r="E16" s="18">
        <v>39</v>
      </c>
      <c r="F16" s="18">
        <v>2</v>
      </c>
      <c r="G16" s="17" t="s">
        <v>133</v>
      </c>
      <c r="H16" s="18">
        <v>4</v>
      </c>
      <c r="I16" s="19"/>
      <c r="J16" s="4" t="str">
        <f>"AZ" &amp; TEXT(E16, "000")</f>
        <v>AZ039</v>
      </c>
      <c r="K16" s="6">
        <f>IFERROR(VLOOKUP(J16,'Inadimplencia - FEV 2025'!$A$5:$E$85,4,0),"0")</f>
        <v>9227.17</v>
      </c>
      <c r="L16" s="6">
        <f>IFERROR(VLOOKUP(J16,'Inadimplencia - Out 2025'!$A$5:$E$85,4,0),"0")</f>
        <v>11456.08</v>
      </c>
      <c r="M16" s="31">
        <f t="shared" si="1"/>
        <v>2228.91</v>
      </c>
      <c r="N16" s="40" t="str">
        <f t="shared" si="0"/>
        <v>AUMENTOU</v>
      </c>
    </row>
    <row r="17" spans="1:14" x14ac:dyDescent="0.25">
      <c r="A17" s="34"/>
      <c r="B17" s="16" t="s">
        <v>148</v>
      </c>
      <c r="C17" s="17" t="s">
        <v>291</v>
      </c>
      <c r="D17" s="17" t="s">
        <v>117</v>
      </c>
      <c r="E17" s="18">
        <v>93</v>
      </c>
      <c r="F17" s="18">
        <v>2</v>
      </c>
      <c r="G17" s="17" t="s">
        <v>118</v>
      </c>
      <c r="H17" s="18">
        <v>8</v>
      </c>
      <c r="I17" s="19"/>
      <c r="J17" s="4" t="str">
        <f>"AZ" &amp; TEXT(E17, "000")</f>
        <v>AZ093</v>
      </c>
      <c r="K17" s="6">
        <f>IFERROR(VLOOKUP(J17,'Inadimplencia - FEV 2025'!$A$5:$E$85,4,0),"0")</f>
        <v>8610.1200000000008</v>
      </c>
      <c r="L17" s="6">
        <f>IFERROR(VLOOKUP(J17,'Inadimplencia - Out 2025'!$A$5:$E$85,4,0),"0")</f>
        <v>11929</v>
      </c>
      <c r="M17" s="31">
        <f t="shared" si="1"/>
        <v>3318.8799999999992</v>
      </c>
      <c r="N17" s="40" t="str">
        <f t="shared" si="0"/>
        <v>AUMENTOU</v>
      </c>
    </row>
    <row r="18" spans="1:14" x14ac:dyDescent="0.25">
      <c r="A18" s="34"/>
      <c r="B18" s="16" t="s">
        <v>150</v>
      </c>
      <c r="C18" s="21" t="s">
        <v>1085</v>
      </c>
      <c r="D18" s="21" t="s">
        <v>951</v>
      </c>
      <c r="E18" s="22">
        <v>72</v>
      </c>
      <c r="F18" s="22">
        <v>2</v>
      </c>
      <c r="G18" s="21" t="s">
        <v>118</v>
      </c>
      <c r="H18" s="22">
        <v>8</v>
      </c>
      <c r="I18" s="19"/>
      <c r="J18" s="4" t="str">
        <f>"PI" &amp; TEXT(E18, "000")</f>
        <v>PI072</v>
      </c>
      <c r="K18" s="6">
        <f>IFERROR(VLOOKUP(J18,'Inadimplencia - FEV 2025'!$A$5:$E$85,4,0),"0")</f>
        <v>8253.66</v>
      </c>
      <c r="L18" s="6">
        <f>IFERROR(VLOOKUP(J18,'Inadimplencia - Out 2025'!$A$5:$E$85,4,0),"0")</f>
        <v>12665.32</v>
      </c>
      <c r="M18" s="31">
        <f t="shared" si="1"/>
        <v>4411.66</v>
      </c>
      <c r="N18" s="40" t="str">
        <f t="shared" si="0"/>
        <v>AUMENTOU</v>
      </c>
    </row>
    <row r="19" spans="1:14" ht="25.5" x14ac:dyDescent="0.25">
      <c r="A19" s="34"/>
      <c r="B19" s="16" t="s">
        <v>152</v>
      </c>
      <c r="C19" s="21" t="s">
        <v>132</v>
      </c>
      <c r="D19" s="21" t="s">
        <v>117</v>
      </c>
      <c r="E19" s="22">
        <v>23</v>
      </c>
      <c r="F19" s="22">
        <v>2</v>
      </c>
      <c r="G19" s="21" t="s">
        <v>133</v>
      </c>
      <c r="H19" s="22">
        <v>8</v>
      </c>
      <c r="I19" s="19"/>
      <c r="J19" s="4" t="str">
        <f>"AZ" &amp; TEXT(E19, "000")</f>
        <v>AZ023</v>
      </c>
      <c r="K19" s="6">
        <f>IFERROR(VLOOKUP(J19,'Inadimplencia - FEV 2025'!$A$5:$E$85,4,0),"0")</f>
        <v>8051.65</v>
      </c>
      <c r="L19" s="6">
        <f>IFERROR(VLOOKUP(J19,'Inadimplencia - Out 2025'!$A$5:$E$85,4,0),"0")</f>
        <v>10217.629999999999</v>
      </c>
      <c r="M19" s="31">
        <f t="shared" si="1"/>
        <v>2165.9799999999996</v>
      </c>
      <c r="N19" s="40" t="str">
        <f t="shared" si="0"/>
        <v>AUMENTOU</v>
      </c>
    </row>
    <row r="20" spans="1:14" x14ac:dyDescent="0.25">
      <c r="A20" s="34"/>
      <c r="B20" s="20" t="s">
        <v>158</v>
      </c>
      <c r="C20" s="17"/>
      <c r="D20" s="17"/>
      <c r="E20" s="18"/>
      <c r="F20" s="18"/>
      <c r="G20" s="17"/>
      <c r="H20" s="18"/>
      <c r="I20" s="19"/>
      <c r="J20" s="4" t="s">
        <v>26</v>
      </c>
      <c r="K20" s="6">
        <f>IFERROR(VLOOKUP(J20,'Inadimplencia - FEV 2025'!$A$5:$E$85,4,0),"0")</f>
        <v>7186.21</v>
      </c>
      <c r="L20" s="6">
        <f>IFERROR(VLOOKUP(J20,'Inadimplencia - Out 2025'!$A$5:$E$85,4,0),"0")</f>
        <v>7582.77</v>
      </c>
      <c r="M20" s="31">
        <f t="shared" si="1"/>
        <v>396.5600000000004</v>
      </c>
      <c r="N20" s="40" t="str">
        <f t="shared" si="0"/>
        <v>AUMENTOU</v>
      </c>
    </row>
    <row r="21" spans="1:14" x14ac:dyDescent="0.25">
      <c r="A21" s="34"/>
      <c r="B21" s="20" t="s">
        <v>131</v>
      </c>
      <c r="C21" s="17" t="s">
        <v>581</v>
      </c>
      <c r="D21" s="17" t="s">
        <v>513</v>
      </c>
      <c r="E21" s="18">
        <v>40</v>
      </c>
      <c r="F21" s="18">
        <v>2</v>
      </c>
      <c r="G21" s="17" t="s">
        <v>118</v>
      </c>
      <c r="H21" s="18">
        <v>8</v>
      </c>
      <c r="I21" s="19"/>
      <c r="J21" s="4" t="str">
        <f>"GA" &amp; TEXT(E21, "000")</f>
        <v>GA040</v>
      </c>
      <c r="K21" s="6">
        <f>IFERROR(VLOOKUP(J21,'Inadimplencia - FEV 2025'!$A$5:$E$85,4,0),"0")</f>
        <v>7070.41</v>
      </c>
      <c r="L21" s="6">
        <f>IFERROR(VLOOKUP(J21,'Inadimplencia - Out 2025'!$A$5:$E$85,4,0),"0")</f>
        <v>10431.86</v>
      </c>
      <c r="M21" s="31">
        <f t="shared" si="1"/>
        <v>3361.4500000000007</v>
      </c>
      <c r="N21" s="40" t="str">
        <f t="shared" si="0"/>
        <v>AUMENTOU</v>
      </c>
    </row>
    <row r="22" spans="1:14" ht="25.5" x14ac:dyDescent="0.25">
      <c r="A22" s="34"/>
      <c r="B22" s="16" t="s">
        <v>160</v>
      </c>
      <c r="C22" s="17" t="s">
        <v>132</v>
      </c>
      <c r="D22" s="17" t="s">
        <v>117</v>
      </c>
      <c r="E22" s="18">
        <v>9</v>
      </c>
      <c r="F22" s="18">
        <v>2</v>
      </c>
      <c r="G22" s="17" t="s">
        <v>133</v>
      </c>
      <c r="H22" s="18">
        <v>8</v>
      </c>
      <c r="I22" s="19"/>
      <c r="J22" s="4" t="str">
        <f>"AZ" &amp; TEXT(E22, "000")</f>
        <v>AZ009</v>
      </c>
      <c r="K22" s="6">
        <f>IFERROR(VLOOKUP(J22,'Inadimplencia - FEV 2025'!$A$5:$E$85,4,0),"0")</f>
        <v>6781.55</v>
      </c>
      <c r="L22" s="6">
        <f>IFERROR(VLOOKUP(J22,'Inadimplencia - Out 2025'!$A$5:$E$85,4,0),"0")</f>
        <v>8868.32</v>
      </c>
      <c r="M22" s="31">
        <f t="shared" si="1"/>
        <v>2086.7699999999995</v>
      </c>
      <c r="N22" s="40" t="str">
        <f t="shared" si="0"/>
        <v>AUMENTOU</v>
      </c>
    </row>
    <row r="23" spans="1:14" x14ac:dyDescent="0.25">
      <c r="A23" s="34"/>
      <c r="B23" s="20" t="s">
        <v>160</v>
      </c>
      <c r="C23" s="21" t="s">
        <v>201</v>
      </c>
      <c r="D23" s="21" t="s">
        <v>117</v>
      </c>
      <c r="E23" s="22">
        <v>47</v>
      </c>
      <c r="F23" s="22">
        <v>2</v>
      </c>
      <c r="G23" s="21" t="s">
        <v>118</v>
      </c>
      <c r="H23" s="22">
        <v>8</v>
      </c>
      <c r="I23" s="19"/>
      <c r="J23" s="4" t="str">
        <f>"AZ" &amp; TEXT(E23, "000")</f>
        <v>AZ047</v>
      </c>
      <c r="K23" s="6">
        <f>IFERROR(VLOOKUP(J23,'Inadimplencia - FEV 2025'!$A$5:$E$85,4,0),"0")</f>
        <v>6673.95</v>
      </c>
      <c r="L23" s="6">
        <f>IFERROR(VLOOKUP(J23,'Inadimplencia - Out 2025'!$A$5:$E$85,4,0),"0")</f>
        <v>8047.12</v>
      </c>
      <c r="M23" s="31">
        <f t="shared" si="1"/>
        <v>1373.17</v>
      </c>
      <c r="N23" s="40" t="str">
        <f t="shared" si="0"/>
        <v>AUMENTOU</v>
      </c>
    </row>
    <row r="24" spans="1:14" x14ac:dyDescent="0.25">
      <c r="A24" s="34"/>
      <c r="B24" s="20" t="s">
        <v>164</v>
      </c>
      <c r="C24" s="21" t="s">
        <v>577</v>
      </c>
      <c r="D24" s="21" t="s">
        <v>513</v>
      </c>
      <c r="E24" s="22">
        <v>38</v>
      </c>
      <c r="F24" s="22">
        <v>2</v>
      </c>
      <c r="G24" s="21" t="s">
        <v>118</v>
      </c>
      <c r="H24" s="22">
        <v>8</v>
      </c>
      <c r="I24" s="19"/>
      <c r="J24" s="4" t="str">
        <f>"GA" &amp; TEXT(E24, "000")</f>
        <v>GA038</v>
      </c>
      <c r="K24" s="6">
        <f>IFERROR(VLOOKUP(J24,'Inadimplencia - FEV 2025'!$A$5:$E$85,4,0),"0")</f>
        <v>6414.44</v>
      </c>
      <c r="L24" s="6" t="str">
        <f>IFERROR(VLOOKUP(J24,'Inadimplencia - Out 2025'!$A$5:$E$85,4,0),"0")</f>
        <v>0</v>
      </c>
      <c r="M24" s="31">
        <f t="shared" si="1"/>
        <v>-6414.44</v>
      </c>
      <c r="N24" s="40" t="str">
        <f t="shared" si="0"/>
        <v>AUMENTOU</v>
      </c>
    </row>
    <row r="25" spans="1:14" x14ac:dyDescent="0.25">
      <c r="A25" s="34"/>
      <c r="B25" s="20" t="s">
        <v>166</v>
      </c>
      <c r="C25" s="21" t="s">
        <v>605</v>
      </c>
      <c r="D25" s="21" t="s">
        <v>513</v>
      </c>
      <c r="E25" s="22">
        <v>55</v>
      </c>
      <c r="F25" s="22">
        <v>2</v>
      </c>
      <c r="G25" s="21" t="s">
        <v>118</v>
      </c>
      <c r="H25" s="22">
        <v>8</v>
      </c>
      <c r="I25" s="19"/>
      <c r="J25" s="4" t="str">
        <f>"GA" &amp; TEXT(E25, "000")</f>
        <v>GA055</v>
      </c>
      <c r="K25" s="6">
        <f>IFERROR(VLOOKUP(J25,'Inadimplencia - FEV 2025'!$A$5:$E$85,4,0),"0")</f>
        <v>5243.06</v>
      </c>
      <c r="L25" s="6">
        <f>IFERROR(VLOOKUP(J25,'Inadimplencia - Out 2025'!$A$5:$E$85,4,0),"0")</f>
        <v>9460.9500000000007</v>
      </c>
      <c r="M25" s="31">
        <f t="shared" si="1"/>
        <v>4217.8900000000003</v>
      </c>
      <c r="N25" s="40" t="str">
        <f t="shared" si="0"/>
        <v>AUMENTOU</v>
      </c>
    </row>
    <row r="26" spans="1:14" x14ac:dyDescent="0.25">
      <c r="A26" s="34"/>
      <c r="B26" s="20" t="s">
        <v>168</v>
      </c>
      <c r="C26" s="17" t="s">
        <v>245</v>
      </c>
      <c r="D26" s="17" t="s">
        <v>117</v>
      </c>
      <c r="E26" s="18">
        <v>70</v>
      </c>
      <c r="F26" s="18">
        <v>2</v>
      </c>
      <c r="G26" s="17" t="s">
        <v>118</v>
      </c>
      <c r="H26" s="18">
        <v>8</v>
      </c>
      <c r="I26" s="19"/>
      <c r="J26" s="4" t="str">
        <f>"AZ" &amp; TEXT(E26, "000")</f>
        <v>AZ070</v>
      </c>
      <c r="K26" s="6">
        <f>IFERROR(VLOOKUP(J26,'Inadimplencia - FEV 2025'!$A$5:$E$85,4,0),"0")</f>
        <v>5017.6499999999996</v>
      </c>
      <c r="L26" s="6">
        <f>IFERROR(VLOOKUP(J26,'Inadimplencia - Out 2025'!$A$5:$E$85,4,0),"0")</f>
        <v>5240.42</v>
      </c>
      <c r="M26" s="31">
        <f t="shared" si="1"/>
        <v>222.77000000000044</v>
      </c>
      <c r="N26" s="40" t="str">
        <f t="shared" si="0"/>
        <v>AUMENTOU</v>
      </c>
    </row>
    <row r="27" spans="1:14" ht="25.5" x14ac:dyDescent="0.25">
      <c r="A27" s="34"/>
      <c r="B27" s="16" t="s">
        <v>172</v>
      </c>
      <c r="C27" s="27" t="s">
        <v>831</v>
      </c>
      <c r="D27" s="27" t="s">
        <v>767</v>
      </c>
      <c r="E27" s="28">
        <v>35</v>
      </c>
      <c r="F27" s="28">
        <v>2</v>
      </c>
      <c r="G27" s="27" t="s">
        <v>118</v>
      </c>
      <c r="H27" s="28">
        <v>8</v>
      </c>
      <c r="I27" s="19"/>
      <c r="J27" s="4" t="str">
        <f>"OR" &amp; TEXT(E27, "000")</f>
        <v>OR035</v>
      </c>
      <c r="K27" s="6">
        <f>IFERROR(VLOOKUP(J27,'Inadimplencia - FEV 2025'!$A$5:$E$85,4,0),"0")</f>
        <v>4622.99</v>
      </c>
      <c r="L27" s="6">
        <f>IFERROR(VLOOKUP(J27,'Inadimplencia - Out 2025'!$A$5:$E$85,4,0),"0")</f>
        <v>7687.41</v>
      </c>
      <c r="M27" s="31">
        <f t="shared" si="1"/>
        <v>3064.42</v>
      </c>
      <c r="N27" s="40" t="str">
        <f t="shared" si="0"/>
        <v>AUMENTOU</v>
      </c>
    </row>
    <row r="28" spans="1:14" x14ac:dyDescent="0.25">
      <c r="A28" s="34"/>
      <c r="B28" s="20" t="s">
        <v>172</v>
      </c>
      <c r="C28" s="21" t="s">
        <v>456</v>
      </c>
      <c r="D28" s="21" t="s">
        <v>310</v>
      </c>
      <c r="E28" s="22">
        <v>86</v>
      </c>
      <c r="F28" s="22">
        <v>2</v>
      </c>
      <c r="G28" s="21" t="s">
        <v>118</v>
      </c>
      <c r="H28" s="22">
        <v>8</v>
      </c>
      <c r="I28" s="19"/>
      <c r="J28" s="4" t="str">
        <f>"BO" &amp; TEXT(E28, "000")</f>
        <v>BO086</v>
      </c>
      <c r="K28" s="6">
        <f>IFERROR(VLOOKUP(J28,'Inadimplencia - FEV 2025'!$A$5:$E$85,4,0),"0")</f>
        <v>4609.47</v>
      </c>
      <c r="L28" s="6">
        <f>IFERROR(VLOOKUP(J28,'Inadimplencia - Out 2025'!$A$5:$E$85,4,0),"0")</f>
        <v>7110.71</v>
      </c>
      <c r="M28" s="31">
        <f t="shared" si="1"/>
        <v>2501.2399999999998</v>
      </c>
      <c r="N28" s="40" t="str">
        <f t="shared" si="0"/>
        <v>AUMENTOU</v>
      </c>
    </row>
    <row r="29" spans="1:14" x14ac:dyDescent="0.25">
      <c r="A29" s="34"/>
      <c r="B29" s="16" t="s">
        <v>174</v>
      </c>
      <c r="C29" s="21" t="s">
        <v>277</v>
      </c>
      <c r="D29" s="21" t="s">
        <v>310</v>
      </c>
      <c r="E29" s="22">
        <v>110</v>
      </c>
      <c r="F29" s="22">
        <v>2</v>
      </c>
      <c r="G29" s="21" t="s">
        <v>133</v>
      </c>
      <c r="H29" s="22">
        <v>8</v>
      </c>
      <c r="I29" s="19"/>
      <c r="J29" s="4" t="str">
        <f>"BO" &amp; TEXT(E29, "000")</f>
        <v>BO110</v>
      </c>
      <c r="K29" s="6">
        <f>IFERROR(VLOOKUP(J29,'Inadimplencia - FEV 2025'!$A$5:$E$85,4,0),"0")</f>
        <v>3743.39</v>
      </c>
      <c r="L29" s="6">
        <f>IFERROR(VLOOKUP(J29,'Inadimplencia - Out 2025'!$A$5:$E$85,4,0),"0")</f>
        <v>3950.82</v>
      </c>
      <c r="M29" s="31">
        <f t="shared" si="1"/>
        <v>207.43000000000029</v>
      </c>
      <c r="N29" s="40" t="str">
        <f t="shared" si="0"/>
        <v>AUMENTOU</v>
      </c>
    </row>
    <row r="30" spans="1:14" ht="25.5" x14ac:dyDescent="0.25">
      <c r="A30" s="34"/>
      <c r="B30" s="20" t="s">
        <v>176</v>
      </c>
      <c r="C30" s="21" t="s">
        <v>957</v>
      </c>
      <c r="D30" s="21" t="s">
        <v>951</v>
      </c>
      <c r="E30" s="22">
        <v>4</v>
      </c>
      <c r="F30" s="22">
        <v>2</v>
      </c>
      <c r="G30" s="21" t="s">
        <v>118</v>
      </c>
      <c r="H30" s="22">
        <v>8</v>
      </c>
      <c r="I30" s="19"/>
      <c r="J30" s="4" t="str">
        <f>"PI" &amp; TEXT(E30, "000")</f>
        <v>PI004</v>
      </c>
      <c r="K30" s="6">
        <f>IFERROR(VLOOKUP(J30,'Inadimplencia - FEV 2025'!$A$5:$E$85,4,0),"0")</f>
        <v>2845.77</v>
      </c>
      <c r="L30" s="6">
        <f>IFERROR(VLOOKUP(J30,'Inadimplencia - Out 2025'!$A$5:$E$85,4,0),"0")</f>
        <v>3936.36</v>
      </c>
      <c r="M30" s="31">
        <f t="shared" si="1"/>
        <v>1090.5900000000001</v>
      </c>
      <c r="N30" s="40" t="str">
        <f t="shared" si="0"/>
        <v>AUMENTOU</v>
      </c>
    </row>
    <row r="31" spans="1:14" ht="25.5" x14ac:dyDescent="0.25">
      <c r="A31" s="34"/>
      <c r="B31" s="16" t="s">
        <v>178</v>
      </c>
      <c r="C31" s="17" t="s">
        <v>740</v>
      </c>
      <c r="D31" s="17" t="s">
        <v>654</v>
      </c>
      <c r="E31" s="18">
        <v>44</v>
      </c>
      <c r="F31" s="18">
        <v>2</v>
      </c>
      <c r="G31" s="17" t="s">
        <v>118</v>
      </c>
      <c r="H31" s="18">
        <v>8</v>
      </c>
      <c r="I31" s="19"/>
      <c r="J31" s="4" t="str">
        <f>"JA" &amp; TEXT(E31, "000")</f>
        <v>JA044</v>
      </c>
      <c r="K31" s="6">
        <f>IFERROR(VLOOKUP(J31,'Inadimplencia - FEV 2025'!$A$5:$E$85,4,0),"0")</f>
        <v>2785.3</v>
      </c>
      <c r="L31" s="6">
        <f>IFERROR(VLOOKUP(J31,'Inadimplencia - Out 2025'!$A$5:$E$85,4,0),"0")</f>
        <v>3366.22</v>
      </c>
      <c r="M31" s="31">
        <f t="shared" si="1"/>
        <v>580.91999999999962</v>
      </c>
      <c r="N31" s="40" t="str">
        <f t="shared" si="0"/>
        <v>AUMENTOU</v>
      </c>
    </row>
    <row r="32" spans="1:14" x14ac:dyDescent="0.25">
      <c r="A32" s="34"/>
      <c r="B32" s="20" t="s">
        <v>180</v>
      </c>
      <c r="C32" s="17" t="s">
        <v>279</v>
      </c>
      <c r="D32" s="17" t="s">
        <v>117</v>
      </c>
      <c r="E32" s="18">
        <v>87</v>
      </c>
      <c r="F32" s="18">
        <v>2</v>
      </c>
      <c r="G32" s="17" t="s">
        <v>118</v>
      </c>
      <c r="H32" s="18">
        <v>8</v>
      </c>
      <c r="I32" s="19"/>
      <c r="J32" s="4" t="str">
        <f>"AZ" &amp; TEXT(E32, "000")</f>
        <v>AZ087</v>
      </c>
      <c r="K32" s="6">
        <f>IFERROR(VLOOKUP(J32,'Inadimplencia - FEV 2025'!$A$5:$E$85,4,0),"0")</f>
        <v>2406.02</v>
      </c>
      <c r="L32" s="6">
        <f>IFERROR(VLOOKUP(J32,'Inadimplencia - Out 2025'!$A$5:$E$85,4,0),"0")</f>
        <v>8065.15</v>
      </c>
      <c r="M32" s="31">
        <f t="shared" si="1"/>
        <v>5659.1299999999992</v>
      </c>
      <c r="N32" s="40" t="str">
        <f t="shared" si="0"/>
        <v>AUMENTOU</v>
      </c>
    </row>
    <row r="33" spans="1:14" x14ac:dyDescent="0.25">
      <c r="A33" s="34"/>
      <c r="B33" s="20" t="s">
        <v>182</v>
      </c>
      <c r="C33" s="21" t="s">
        <v>1101</v>
      </c>
      <c r="D33" s="21" t="s">
        <v>951</v>
      </c>
      <c r="E33" s="22">
        <v>80</v>
      </c>
      <c r="F33" s="22">
        <v>2</v>
      </c>
      <c r="G33" s="21" t="s">
        <v>118</v>
      </c>
      <c r="H33" s="22">
        <v>8</v>
      </c>
      <c r="I33" s="19"/>
      <c r="J33" s="4" t="str">
        <f>"PI" &amp; TEXT(E33, "000")</f>
        <v>PI080</v>
      </c>
      <c r="K33" s="6">
        <f>IFERROR(VLOOKUP(J33,'Inadimplencia - FEV 2025'!$A$5:$E$85,4,0),"0")</f>
        <v>2174.77</v>
      </c>
      <c r="L33" s="6">
        <f>IFERROR(VLOOKUP(J33,'Inadimplencia - Out 2025'!$A$5:$E$85,4,0),"0")</f>
        <v>2383.81</v>
      </c>
      <c r="M33" s="31">
        <f t="shared" si="1"/>
        <v>209.03999999999996</v>
      </c>
      <c r="N33" s="40" t="str">
        <f t="shared" si="0"/>
        <v>AUMENTOU</v>
      </c>
    </row>
    <row r="34" spans="1:14" x14ac:dyDescent="0.25">
      <c r="A34" s="34"/>
      <c r="B34" s="16" t="s">
        <v>184</v>
      </c>
      <c r="C34" s="17" t="s">
        <v>853</v>
      </c>
      <c r="D34" s="17" t="s">
        <v>767</v>
      </c>
      <c r="E34" s="18">
        <v>47</v>
      </c>
      <c r="F34" s="18">
        <v>2</v>
      </c>
      <c r="G34" s="17" t="s">
        <v>118</v>
      </c>
      <c r="H34" s="18">
        <v>8</v>
      </c>
      <c r="I34" s="19"/>
      <c r="J34" s="4" t="str">
        <f>"OR" &amp; TEXT(E34, "000")</f>
        <v>OR047</v>
      </c>
      <c r="K34" s="6">
        <f>IFERROR(VLOOKUP(J34,'Inadimplencia - FEV 2025'!$A$5:$E$85,4,0),"0")</f>
        <v>1927.85</v>
      </c>
      <c r="L34" s="6">
        <f>IFERROR(VLOOKUP(J34,'Inadimplencia - Out 2025'!$A$5:$E$85,4,0),"0")</f>
        <v>2035.7</v>
      </c>
      <c r="M34" s="31">
        <f t="shared" si="1"/>
        <v>107.85000000000014</v>
      </c>
      <c r="N34" s="40" t="str">
        <f t="shared" si="0"/>
        <v>AUMENTOU</v>
      </c>
    </row>
    <row r="35" spans="1:14" x14ac:dyDescent="0.25">
      <c r="A35" s="34"/>
      <c r="B35" s="16" t="s">
        <v>131</v>
      </c>
      <c r="C35" s="21" t="s">
        <v>1031</v>
      </c>
      <c r="D35" s="21" t="s">
        <v>951</v>
      </c>
      <c r="E35" s="22">
        <v>42</v>
      </c>
      <c r="F35" s="22">
        <v>2</v>
      </c>
      <c r="G35" s="21" t="s">
        <v>118</v>
      </c>
      <c r="H35" s="22">
        <v>8</v>
      </c>
      <c r="I35" s="19"/>
      <c r="J35" s="4" t="str">
        <f>"PI" &amp; TEXT(E35, "000")</f>
        <v>PI042</v>
      </c>
      <c r="K35" s="6">
        <f>IFERROR(VLOOKUP(J35,'Inadimplencia - FEV 2025'!$A$5:$E$85,4,0),"0")</f>
        <v>1662.99</v>
      </c>
      <c r="L35" s="6">
        <f>IFERROR(VLOOKUP(J35,'Inadimplencia - Out 2025'!$A$5:$E$85,4,0),"0")</f>
        <v>2230.5300000000002</v>
      </c>
      <c r="M35" s="31">
        <f t="shared" si="1"/>
        <v>567.54000000000019</v>
      </c>
      <c r="N35" s="40" t="str">
        <f t="shared" si="0"/>
        <v>AUMENTOU</v>
      </c>
    </row>
    <row r="36" spans="1:14" x14ac:dyDescent="0.25">
      <c r="A36" s="34"/>
      <c r="B36" s="20" t="s">
        <v>194</v>
      </c>
      <c r="C36" s="27" t="s">
        <v>857</v>
      </c>
      <c r="D36" s="27" t="s">
        <v>767</v>
      </c>
      <c r="E36" s="28">
        <v>49</v>
      </c>
      <c r="F36" s="28">
        <v>2</v>
      </c>
      <c r="G36" s="27" t="s">
        <v>118</v>
      </c>
      <c r="H36" s="28">
        <v>8</v>
      </c>
      <c r="I36" s="19"/>
      <c r="J36" s="4" t="str">
        <f>"OR" &amp; TEXT(E36, "000")</f>
        <v>OR049</v>
      </c>
      <c r="K36" s="6">
        <f>IFERROR(VLOOKUP(J36,'Inadimplencia - FEV 2025'!$A$5:$E$85,4,0),"0")</f>
        <v>1099.57</v>
      </c>
      <c r="L36" s="6">
        <f>IFERROR(VLOOKUP(J36,'Inadimplencia - Out 2025'!$A$5:$E$85,4,0),"0")</f>
        <v>3366.22</v>
      </c>
      <c r="M36" s="31">
        <f t="shared" si="1"/>
        <v>2266.6499999999996</v>
      </c>
      <c r="N36" s="40" t="str">
        <f t="shared" si="0"/>
        <v>AUMENTOU</v>
      </c>
    </row>
    <row r="37" spans="1:14" x14ac:dyDescent="0.25">
      <c r="A37" s="34"/>
      <c r="B37" s="20" t="s">
        <v>196</v>
      </c>
      <c r="C37" s="17" t="s">
        <v>897</v>
      </c>
      <c r="D37" s="17" t="s">
        <v>767</v>
      </c>
      <c r="E37" s="18">
        <v>71</v>
      </c>
      <c r="F37" s="18">
        <v>2</v>
      </c>
      <c r="G37" s="17" t="s">
        <v>118</v>
      </c>
      <c r="H37" s="18">
        <v>8</v>
      </c>
      <c r="I37" s="19"/>
      <c r="J37" s="4" t="str">
        <f>"OR" &amp; TEXT(E37, "000")</f>
        <v>OR071</v>
      </c>
      <c r="K37" s="6">
        <f>IFERROR(VLOOKUP(J37,'Inadimplencia - FEV 2025'!$A$5:$E$85,4,0),"0")</f>
        <v>1092.19</v>
      </c>
      <c r="L37" s="6">
        <f>IFERROR(VLOOKUP(J37,'Inadimplencia - Out 2025'!$A$5:$E$85,4,0),"0")</f>
        <v>5084</v>
      </c>
      <c r="M37" s="31">
        <f t="shared" si="1"/>
        <v>3991.81</v>
      </c>
      <c r="N37" s="40" t="str">
        <f t="shared" si="0"/>
        <v>AUMENTOU</v>
      </c>
    </row>
    <row r="38" spans="1:14" ht="25.5" x14ac:dyDescent="0.25">
      <c r="A38" s="34"/>
      <c r="B38" s="20" t="s">
        <v>198</v>
      </c>
      <c r="C38" s="21" t="s">
        <v>163</v>
      </c>
      <c r="D38" s="21" t="s">
        <v>117</v>
      </c>
      <c r="E38" s="22">
        <v>26</v>
      </c>
      <c r="F38" s="22">
        <v>2</v>
      </c>
      <c r="G38" s="21" t="s">
        <v>118</v>
      </c>
      <c r="H38" s="22">
        <v>8</v>
      </c>
      <c r="I38" s="19"/>
      <c r="J38" s="4" t="str">
        <f>"AZ" &amp; TEXT(E38, "000")</f>
        <v>AZ026</v>
      </c>
      <c r="K38" s="6">
        <f>IFERROR(VLOOKUP(J38,'Inadimplencia - FEV 2025'!$A$5:$E$85,4,0),"0")</f>
        <v>1092.19</v>
      </c>
      <c r="L38" s="6">
        <f>IFERROR(VLOOKUP(J38,'Inadimplencia - Out 2025'!$A$5:$E$85,4,0),"0")</f>
        <v>3375.61</v>
      </c>
      <c r="M38" s="31">
        <f t="shared" si="1"/>
        <v>2283.42</v>
      </c>
      <c r="N38" s="40" t="str">
        <f t="shared" si="0"/>
        <v>AUMENTOU</v>
      </c>
    </row>
    <row r="39" spans="1:14" ht="25.5" x14ac:dyDescent="0.25">
      <c r="A39" s="34"/>
      <c r="B39" s="20" t="s">
        <v>200</v>
      </c>
      <c r="C39" s="17" t="s">
        <v>791</v>
      </c>
      <c r="D39" s="17" t="s">
        <v>767</v>
      </c>
      <c r="E39" s="18">
        <v>13</v>
      </c>
      <c r="F39" s="18">
        <v>2</v>
      </c>
      <c r="G39" s="17" t="s">
        <v>118</v>
      </c>
      <c r="H39" s="18">
        <v>8</v>
      </c>
      <c r="I39" s="19"/>
      <c r="J39" s="4" t="str">
        <f>"OR" &amp; TEXT(E39, "000")</f>
        <v>OR013</v>
      </c>
      <c r="K39" s="6">
        <f>IFERROR(VLOOKUP(J39,'Inadimplencia - FEV 2025'!$A$5:$E$85,4,0),"0")</f>
        <v>1092.19</v>
      </c>
      <c r="L39" s="6">
        <f>IFERROR(VLOOKUP(J39,'Inadimplencia - Out 2025'!$A$5:$E$85,4,0),"0")</f>
        <v>1147.6400000000001</v>
      </c>
      <c r="M39" s="31">
        <f t="shared" si="1"/>
        <v>55.450000000000045</v>
      </c>
      <c r="N39" s="40" t="str">
        <f t="shared" si="0"/>
        <v>AUMENTOU</v>
      </c>
    </row>
    <row r="40" spans="1:14" x14ac:dyDescent="0.25">
      <c r="A40" s="34"/>
      <c r="B40" s="16" t="s">
        <v>206</v>
      </c>
      <c r="C40" s="17" t="s">
        <v>1083</v>
      </c>
      <c r="D40" s="17" t="s">
        <v>951</v>
      </c>
      <c r="E40" s="18">
        <v>71</v>
      </c>
      <c r="F40" s="18">
        <v>2</v>
      </c>
      <c r="G40" s="17" t="s">
        <v>118</v>
      </c>
      <c r="H40" s="18">
        <v>8</v>
      </c>
      <c r="I40" s="19"/>
      <c r="J40" s="4" t="str">
        <f>"PI" &amp; TEXT(E40, "000")</f>
        <v>PI071</v>
      </c>
      <c r="K40" s="6">
        <f>IFERROR(VLOOKUP(J40,'Inadimplencia - FEV 2025'!$A$5:$E$85,4,0),"0")</f>
        <v>674.49</v>
      </c>
      <c r="L40" s="6">
        <f>IFERROR(VLOOKUP(J40,'Inadimplencia - Out 2025'!$A$5:$E$85,4,0),"0")</f>
        <v>1265.44</v>
      </c>
      <c r="M40" s="31">
        <f t="shared" si="1"/>
        <v>590.95000000000005</v>
      </c>
      <c r="N40" s="40" t="str">
        <f t="shared" si="0"/>
        <v>AUMENTOU</v>
      </c>
    </row>
    <row r="41" spans="1:14" x14ac:dyDescent="0.25">
      <c r="A41" s="34"/>
      <c r="B41" s="16" t="s">
        <v>208</v>
      </c>
      <c r="C41" s="17" t="s">
        <v>225</v>
      </c>
      <c r="D41" s="17" t="s">
        <v>117</v>
      </c>
      <c r="E41" s="18">
        <v>59</v>
      </c>
      <c r="F41" s="18">
        <v>2</v>
      </c>
      <c r="G41" s="17" t="s">
        <v>118</v>
      </c>
      <c r="H41" s="18">
        <v>8</v>
      </c>
      <c r="I41" s="19"/>
      <c r="J41" s="4" t="str">
        <f>"AZ" &amp; TEXT(E41, "000")</f>
        <v>AZ059</v>
      </c>
      <c r="K41" s="6">
        <f>IFERROR(VLOOKUP(J41,'Inadimplencia - FEV 2025'!$A$5:$E$85,4,0),"0")</f>
        <v>646.21</v>
      </c>
      <c r="L41" s="6">
        <f>IFERROR(VLOOKUP(J41,'Inadimplencia - Out 2025'!$A$5:$E$85,4,0),"0")</f>
        <v>1235.0999999999999</v>
      </c>
      <c r="M41" s="31">
        <f t="shared" si="1"/>
        <v>588.88999999999987</v>
      </c>
      <c r="N41" s="40" t="str">
        <f t="shared" si="0"/>
        <v>AUMENTOU</v>
      </c>
    </row>
    <row r="42" spans="1:14" x14ac:dyDescent="0.25">
      <c r="A42" s="34"/>
      <c r="B42" s="20" t="s">
        <v>210</v>
      </c>
      <c r="C42" s="21" t="s">
        <v>223</v>
      </c>
      <c r="D42" s="21" t="s">
        <v>117</v>
      </c>
      <c r="E42" s="22">
        <v>58</v>
      </c>
      <c r="F42" s="22">
        <v>2</v>
      </c>
      <c r="G42" s="21" t="s">
        <v>118</v>
      </c>
      <c r="H42" s="22">
        <v>8</v>
      </c>
      <c r="I42" s="19"/>
      <c r="J42" s="4" t="str">
        <f>"AZ" &amp; TEXT(E42, "000")</f>
        <v>AZ058</v>
      </c>
      <c r="K42" s="6">
        <f>IFERROR(VLOOKUP(J42,'Inadimplencia - FEV 2025'!$A$5:$E$85,4,0),"0")</f>
        <v>628.29999999999995</v>
      </c>
      <c r="L42" s="6">
        <f>IFERROR(VLOOKUP(J42,'Inadimplencia - Out 2025'!$A$5:$E$85,4,0),"0")</f>
        <v>6202.21</v>
      </c>
      <c r="M42" s="31">
        <f t="shared" si="1"/>
        <v>5573.91</v>
      </c>
      <c r="N42" s="40" t="str">
        <f t="shared" si="0"/>
        <v>AUMENTOU</v>
      </c>
    </row>
    <row r="43" spans="1:14" x14ac:dyDescent="0.25">
      <c r="A43" s="34"/>
      <c r="B43" s="16" t="s">
        <v>214</v>
      </c>
      <c r="C43" s="21" t="s">
        <v>120</v>
      </c>
      <c r="D43" s="21" t="s">
        <v>117</v>
      </c>
      <c r="E43" s="22">
        <v>2</v>
      </c>
      <c r="F43" s="22">
        <v>2</v>
      </c>
      <c r="G43" s="21" t="s">
        <v>118</v>
      </c>
      <c r="H43" s="22">
        <v>8</v>
      </c>
      <c r="I43" s="19"/>
      <c r="J43" s="4" t="str">
        <f>"AZ" &amp; TEXT(E43, "000")</f>
        <v>AZ002</v>
      </c>
      <c r="K43" s="6">
        <f>IFERROR(VLOOKUP(J43,'Inadimplencia - FEV 2025'!$A$5:$E$85,4,0),"0")</f>
        <v>609.35</v>
      </c>
      <c r="L43" s="6">
        <f>IFERROR(VLOOKUP(J43,'Inadimplencia - Out 2025'!$A$5:$E$85,4,0),"0")</f>
        <v>646.95000000000005</v>
      </c>
      <c r="M43" s="31">
        <f t="shared" si="1"/>
        <v>37.600000000000023</v>
      </c>
      <c r="N43" s="40" t="str">
        <f t="shared" si="0"/>
        <v>AUMENTOU</v>
      </c>
    </row>
    <row r="44" spans="1:14" x14ac:dyDescent="0.25">
      <c r="A44" s="34"/>
      <c r="B44" s="20" t="s">
        <v>216</v>
      </c>
      <c r="C44" s="17" t="s">
        <v>147</v>
      </c>
      <c r="D44" s="17" t="s">
        <v>117</v>
      </c>
      <c r="E44" s="18">
        <v>16</v>
      </c>
      <c r="F44" s="18">
        <v>2</v>
      </c>
      <c r="G44" s="17" t="s">
        <v>118</v>
      </c>
      <c r="H44" s="18">
        <v>8</v>
      </c>
      <c r="I44" s="19"/>
      <c r="J44" s="4" t="str">
        <f>"AZ" &amp; TEXT(E44, "000")</f>
        <v>AZ016</v>
      </c>
      <c r="K44" s="6">
        <f>IFERROR(VLOOKUP(J44,'Inadimplencia - FEV 2025'!$A$5:$E$85,4,0),"0")</f>
        <v>603.6</v>
      </c>
      <c r="L44" s="6">
        <f>IFERROR(VLOOKUP(J44,'Inadimplencia - Out 2025'!$A$5:$E$85,4,0),"0")</f>
        <v>643.80999999999995</v>
      </c>
      <c r="M44" s="31">
        <f t="shared" si="1"/>
        <v>40.209999999999923</v>
      </c>
      <c r="N44" s="40" t="str">
        <f t="shared" si="0"/>
        <v>AUMENTOU</v>
      </c>
    </row>
    <row r="45" spans="1:14" ht="25.5" x14ac:dyDescent="0.25">
      <c r="A45" s="34"/>
      <c r="B45" s="16" t="s">
        <v>218</v>
      </c>
      <c r="C45" s="21" t="s">
        <v>563</v>
      </c>
      <c r="D45" s="21" t="s">
        <v>513</v>
      </c>
      <c r="E45" s="22">
        <v>30</v>
      </c>
      <c r="F45" s="22">
        <v>2</v>
      </c>
      <c r="G45" s="21" t="s">
        <v>118</v>
      </c>
      <c r="H45" s="22">
        <v>8</v>
      </c>
      <c r="I45" s="19"/>
      <c r="J45" s="4" t="str">
        <f>"GA" &amp; TEXT(E45, "000")</f>
        <v>GA030</v>
      </c>
      <c r="K45" s="6">
        <f>IFERROR(VLOOKUP(J45,'Inadimplencia - FEV 2025'!$A$5:$E$85,4,0),"0")</f>
        <v>596.75</v>
      </c>
      <c r="L45" s="6" t="str">
        <f>IFERROR(VLOOKUP(J45,'Inadimplencia - Out 2025'!$A$5:$E$85,4,0),"0")</f>
        <v>0</v>
      </c>
      <c r="M45" s="31">
        <f t="shared" si="1"/>
        <v>-596.75</v>
      </c>
      <c r="N45" s="40" t="str">
        <f t="shared" si="0"/>
        <v>AUMENTOU</v>
      </c>
    </row>
    <row r="46" spans="1:14" x14ac:dyDescent="0.25">
      <c r="A46" s="34"/>
      <c r="B46" s="16" t="s">
        <v>220</v>
      </c>
      <c r="C46" s="17" t="s">
        <v>817</v>
      </c>
      <c r="D46" s="17" t="s">
        <v>767</v>
      </c>
      <c r="E46" s="18">
        <v>28</v>
      </c>
      <c r="F46" s="18">
        <v>2</v>
      </c>
      <c r="G46" s="17" t="s">
        <v>118</v>
      </c>
      <c r="H46" s="18">
        <v>8</v>
      </c>
      <c r="I46" s="19"/>
      <c r="J46" s="4" t="str">
        <f>"OR" &amp; TEXT(E46, "000")</f>
        <v>OR028</v>
      </c>
      <c r="K46" s="6">
        <f>IFERROR(VLOOKUP(J46,'Inadimplencia - FEV 2025'!$A$5:$E$85,4,0),"0")</f>
        <v>582.11</v>
      </c>
      <c r="L46" s="6">
        <f>IFERROR(VLOOKUP(J46,'Inadimplencia - Out 2025'!$A$5:$E$85,4,0),"0")</f>
        <v>4917.1099999999997</v>
      </c>
      <c r="M46" s="31">
        <f t="shared" si="1"/>
        <v>4335</v>
      </c>
      <c r="N46" s="40" t="str">
        <f t="shared" si="0"/>
        <v>AUMENTOU</v>
      </c>
    </row>
    <row r="47" spans="1:14" x14ac:dyDescent="0.25">
      <c r="A47" s="34"/>
      <c r="B47" s="20" t="s">
        <v>222</v>
      </c>
      <c r="C47" s="17" t="s">
        <v>803</v>
      </c>
      <c r="D47" s="17" t="s">
        <v>767</v>
      </c>
      <c r="E47" s="18">
        <v>20</v>
      </c>
      <c r="F47" s="18">
        <v>2</v>
      </c>
      <c r="G47" s="17" t="s">
        <v>118</v>
      </c>
      <c r="H47" s="18">
        <v>8</v>
      </c>
      <c r="I47" s="19"/>
      <c r="J47" s="4" t="str">
        <f>"OR" &amp; TEXT(E47, "000")</f>
        <v>OR020</v>
      </c>
      <c r="K47" s="6">
        <f>IFERROR(VLOOKUP(J47,'Inadimplencia - FEV 2025'!$A$5:$E$85,4,0),"0")</f>
        <v>582.11</v>
      </c>
      <c r="L47" s="6">
        <f>IFERROR(VLOOKUP(J47,'Inadimplencia - Out 2025'!$A$5:$E$85,4,0),"0")</f>
        <v>2875.25</v>
      </c>
      <c r="M47" s="31">
        <f t="shared" si="1"/>
        <v>2293.14</v>
      </c>
      <c r="N47" s="40" t="str">
        <f t="shared" si="0"/>
        <v>AUMENTOU</v>
      </c>
    </row>
    <row r="48" spans="1:14" x14ac:dyDescent="0.25">
      <c r="A48" s="34"/>
      <c r="B48" s="20" t="s">
        <v>226</v>
      </c>
      <c r="C48" s="17" t="s">
        <v>641</v>
      </c>
      <c r="D48" s="17" t="s">
        <v>513</v>
      </c>
      <c r="E48" s="18">
        <v>73</v>
      </c>
      <c r="F48" s="18">
        <v>2</v>
      </c>
      <c r="G48" s="17" t="s">
        <v>118</v>
      </c>
      <c r="H48" s="18">
        <v>8</v>
      </c>
      <c r="I48" s="19"/>
      <c r="J48" s="4" t="str">
        <f>"GA" &amp; TEXT(E48, "000")</f>
        <v>GA073</v>
      </c>
      <c r="K48" s="6">
        <f>IFERROR(VLOOKUP(J48,'Inadimplencia - FEV 2025'!$A$5:$E$85,4,0),"0")</f>
        <v>563.72</v>
      </c>
      <c r="L48" s="6">
        <f>IFERROR(VLOOKUP(J48,'Inadimplencia - Out 2025'!$A$5:$E$85,4,0),"0")</f>
        <v>587.66</v>
      </c>
      <c r="M48" s="31">
        <f t="shared" si="1"/>
        <v>23.939999999999941</v>
      </c>
      <c r="N48" s="40" t="str">
        <f t="shared" si="0"/>
        <v>AUMENTOU</v>
      </c>
    </row>
    <row r="49" spans="1:14" x14ac:dyDescent="0.25">
      <c r="A49" s="34"/>
      <c r="B49" s="16" t="s">
        <v>230</v>
      </c>
      <c r="C49" s="17" t="s">
        <v>955</v>
      </c>
      <c r="D49" s="17" t="s">
        <v>951</v>
      </c>
      <c r="E49" s="18">
        <v>3</v>
      </c>
      <c r="F49" s="18">
        <v>2</v>
      </c>
      <c r="G49" s="17" t="s">
        <v>118</v>
      </c>
      <c r="H49" s="18">
        <v>8</v>
      </c>
      <c r="I49" s="19"/>
      <c r="J49" s="4" t="str">
        <f>"PI" &amp; TEXT(E49, "000")</f>
        <v>PI003</v>
      </c>
      <c r="K49" s="6">
        <f>IFERROR(VLOOKUP(J49,'Inadimplencia - FEV 2025'!$A$5:$E$85,4,0),"0")</f>
        <v>554.87</v>
      </c>
      <c r="L49" s="6">
        <f>IFERROR(VLOOKUP(J49,'Inadimplencia - Out 2025'!$A$5:$E$85,4,0),"0")</f>
        <v>578.13</v>
      </c>
      <c r="M49" s="31">
        <f t="shared" si="1"/>
        <v>23.259999999999991</v>
      </c>
      <c r="N49" s="40" t="str">
        <f t="shared" si="0"/>
        <v>AUMENTOU</v>
      </c>
    </row>
    <row r="50" spans="1:14" x14ac:dyDescent="0.25">
      <c r="A50" s="34"/>
      <c r="B50" s="16" t="s">
        <v>232</v>
      </c>
      <c r="C50" s="21" t="s">
        <v>959</v>
      </c>
      <c r="D50" s="21" t="s">
        <v>951</v>
      </c>
      <c r="E50" s="22">
        <v>5</v>
      </c>
      <c r="F50" s="22">
        <v>2</v>
      </c>
      <c r="G50" s="21" t="s">
        <v>118</v>
      </c>
      <c r="H50" s="22">
        <v>8</v>
      </c>
      <c r="I50" s="19"/>
      <c r="J50" s="4" t="str">
        <f>"PI" &amp; TEXT(E50, "000")</f>
        <v>PI005</v>
      </c>
      <c r="K50" s="6">
        <f>IFERROR(VLOOKUP(J50,'Inadimplencia - FEV 2025'!$A$5:$E$85,4,0),"0")</f>
        <v>554.87</v>
      </c>
      <c r="L50" s="6">
        <f>IFERROR(VLOOKUP(J50,'Inadimplencia - Out 2025'!$A$5:$E$85,4,0),"0")</f>
        <v>578.13</v>
      </c>
      <c r="M50" s="31">
        <f t="shared" si="1"/>
        <v>23.259999999999991</v>
      </c>
      <c r="N50" s="40" t="str">
        <f t="shared" si="0"/>
        <v>AUMENTOU</v>
      </c>
    </row>
    <row r="51" spans="1:14" x14ac:dyDescent="0.25">
      <c r="A51" s="34"/>
      <c r="B51" s="20" t="s">
        <v>238</v>
      </c>
      <c r="C51" s="21" t="s">
        <v>714</v>
      </c>
      <c r="D51" s="21" t="s">
        <v>654</v>
      </c>
      <c r="E51" s="22">
        <v>31</v>
      </c>
      <c r="F51" s="22">
        <v>2</v>
      </c>
      <c r="G51" s="21" t="s">
        <v>118</v>
      </c>
      <c r="H51" s="22">
        <v>8</v>
      </c>
      <c r="I51" s="19"/>
      <c r="J51" s="4" t="str">
        <f>"JA" &amp; TEXT(E51, "000")</f>
        <v>JA031</v>
      </c>
      <c r="K51" s="6">
        <f>IFERROR(VLOOKUP(J51,'Inadimplencia - FEV 2025'!$A$5:$E$85,4,0),"0")</f>
        <v>547.49</v>
      </c>
      <c r="L51" s="6">
        <f>IFERROR(VLOOKUP(J51,'Inadimplencia - Out 2025'!$A$5:$E$85,4,0),"0")</f>
        <v>693.51</v>
      </c>
      <c r="M51" s="31">
        <f t="shared" si="1"/>
        <v>146.01999999999998</v>
      </c>
      <c r="N51" s="40" t="str">
        <f t="shared" si="0"/>
        <v>AUMENTOU</v>
      </c>
    </row>
    <row r="52" spans="1:14" x14ac:dyDescent="0.25">
      <c r="A52" s="34"/>
      <c r="B52" s="20" t="s">
        <v>240</v>
      </c>
      <c r="C52" s="21" t="s">
        <v>712</v>
      </c>
      <c r="D52" s="21" t="s">
        <v>654</v>
      </c>
      <c r="E52" s="22">
        <v>30</v>
      </c>
      <c r="F52" s="22">
        <v>2</v>
      </c>
      <c r="G52" s="21" t="s">
        <v>118</v>
      </c>
      <c r="H52" s="22">
        <v>8</v>
      </c>
      <c r="I52" s="19"/>
      <c r="J52" s="4" t="str">
        <f>"JA" &amp; TEXT(E52, "000")</f>
        <v>JA030</v>
      </c>
      <c r="K52" s="6">
        <f>IFERROR(VLOOKUP(J52,'Inadimplencia - FEV 2025'!$A$5:$E$85,4,0),"0")</f>
        <v>547.49</v>
      </c>
      <c r="L52" s="6">
        <f>IFERROR(VLOOKUP(J52,'Inadimplencia - Out 2025'!$A$5:$E$85,4,0),"0")</f>
        <v>575.96</v>
      </c>
      <c r="M52" s="31">
        <f t="shared" si="1"/>
        <v>28.470000000000027</v>
      </c>
      <c r="N52" s="40" t="str">
        <f t="shared" si="0"/>
        <v>AUMENTOU</v>
      </c>
    </row>
    <row r="53" spans="1:14" x14ac:dyDescent="0.25">
      <c r="A53" s="34"/>
      <c r="B53" s="20" t="s">
        <v>242</v>
      </c>
      <c r="C53" s="21" t="s">
        <v>1099</v>
      </c>
      <c r="D53" s="21" t="s">
        <v>951</v>
      </c>
      <c r="E53" s="22">
        <v>79</v>
      </c>
      <c r="F53" s="22">
        <v>2</v>
      </c>
      <c r="G53" s="21" t="s">
        <v>118</v>
      </c>
      <c r="H53" s="22">
        <v>8</v>
      </c>
      <c r="I53" s="19"/>
      <c r="J53" s="4" t="str">
        <f>"PI" &amp; TEXT(E53, "000")</f>
        <v>PI079</v>
      </c>
      <c r="K53" s="6">
        <f>IFERROR(VLOOKUP(J53,'Inadimplencia - FEV 2025'!$A$5:$E$85,4,0),"0")</f>
        <v>544.70000000000005</v>
      </c>
      <c r="L53" s="6">
        <f>IFERROR(VLOOKUP(J53,'Inadimplencia - Out 2025'!$A$5:$E$85,4,0),"0")</f>
        <v>2316.16</v>
      </c>
      <c r="M53" s="31">
        <f t="shared" si="1"/>
        <v>1771.4599999999998</v>
      </c>
      <c r="N53" s="40" t="str">
        <f t="shared" si="0"/>
        <v>AUMENTOU</v>
      </c>
    </row>
    <row r="54" spans="1:14" x14ac:dyDescent="0.25">
      <c r="A54" s="34"/>
      <c r="B54" s="20" t="s">
        <v>234</v>
      </c>
      <c r="C54" s="21" t="s">
        <v>512</v>
      </c>
      <c r="D54" s="21" t="s">
        <v>513</v>
      </c>
      <c r="E54" s="22">
        <v>1</v>
      </c>
      <c r="F54" s="22">
        <v>2</v>
      </c>
      <c r="G54" s="21" t="s">
        <v>118</v>
      </c>
      <c r="H54" s="22">
        <v>8</v>
      </c>
      <c r="I54" s="19"/>
      <c r="J54" s="4" t="str">
        <f>"GA" &amp; TEXT(E54, "000")</f>
        <v>GA001</v>
      </c>
      <c r="K54" s="6">
        <f>IFERROR(VLOOKUP(J54,'Inadimplencia - FEV 2025'!$A$5:$E$85,4,0),"0")</f>
        <v>544.70000000000005</v>
      </c>
      <c r="L54" s="6">
        <f>IFERROR(VLOOKUP(J54,'Inadimplencia - Out 2025'!$A$5:$E$85,4,0),"0")</f>
        <v>571.67999999999995</v>
      </c>
      <c r="M54" s="31">
        <f t="shared" si="1"/>
        <v>26.979999999999905</v>
      </c>
      <c r="N54" s="40" t="str">
        <f t="shared" si="0"/>
        <v>AUMENTOU</v>
      </c>
    </row>
    <row r="55" spans="1:14" x14ac:dyDescent="0.25">
      <c r="A55" s="34"/>
      <c r="B55" s="16" t="s">
        <v>244</v>
      </c>
      <c r="C55" s="17" t="s">
        <v>519</v>
      </c>
      <c r="D55" s="17" t="s">
        <v>513</v>
      </c>
      <c r="E55" s="18">
        <v>4</v>
      </c>
      <c r="F55" s="18">
        <v>2</v>
      </c>
      <c r="G55" s="17" t="s">
        <v>118</v>
      </c>
      <c r="H55" s="18">
        <v>8</v>
      </c>
      <c r="I55" s="19"/>
      <c r="J55" s="4" t="str">
        <f>"GA" &amp; TEXT(E55, "000")</f>
        <v>GA004</v>
      </c>
      <c r="K55" s="6">
        <f>IFERROR(VLOOKUP(J55,'Inadimplencia - FEV 2025'!$A$5:$E$85,4,0),"0")</f>
        <v>544.70000000000005</v>
      </c>
      <c r="L55" s="6">
        <f>IFERROR(VLOOKUP(J55,'Inadimplencia - Out 2025'!$A$5:$E$85,4,0),"0")</f>
        <v>571.67999999999995</v>
      </c>
      <c r="M55" s="31">
        <f t="shared" si="1"/>
        <v>26.979999999999905</v>
      </c>
      <c r="N55" s="40" t="str">
        <f t="shared" si="0"/>
        <v>AUMENTOU</v>
      </c>
    </row>
    <row r="56" spans="1:14" x14ac:dyDescent="0.25">
      <c r="A56" s="34"/>
      <c r="B56" s="20" t="s">
        <v>246</v>
      </c>
      <c r="C56" s="17" t="s">
        <v>758</v>
      </c>
      <c r="D56" s="17" t="s">
        <v>654</v>
      </c>
      <c r="E56" s="18">
        <v>53</v>
      </c>
      <c r="F56" s="18">
        <v>2</v>
      </c>
      <c r="G56" s="17" t="s">
        <v>118</v>
      </c>
      <c r="H56" s="18">
        <v>8</v>
      </c>
      <c r="I56" s="19"/>
      <c r="J56" s="4" t="str">
        <f>"JA" &amp; TEXT(E56, "000")</f>
        <v>JA053</v>
      </c>
      <c r="K56" s="6">
        <f>IFERROR(VLOOKUP(J56,'Inadimplencia - FEV 2025'!$A$5:$E$85,4,0),"0")</f>
        <v>544.70000000000005</v>
      </c>
      <c r="L56" s="6">
        <f>IFERROR(VLOOKUP(J56,'Inadimplencia - Out 2025'!$A$5:$E$85,4,0),"0")</f>
        <v>571.67999999999995</v>
      </c>
      <c r="M56" s="31">
        <f t="shared" si="1"/>
        <v>26.979999999999905</v>
      </c>
      <c r="N56" s="40" t="str">
        <f t="shared" si="0"/>
        <v>AUMENTOU</v>
      </c>
    </row>
    <row r="57" spans="1:14" x14ac:dyDescent="0.25">
      <c r="A57" s="34"/>
      <c r="B57" s="16" t="s">
        <v>248</v>
      </c>
      <c r="C57" s="17" t="s">
        <v>235</v>
      </c>
      <c r="D57" s="17" t="s">
        <v>117</v>
      </c>
      <c r="E57" s="18">
        <v>64</v>
      </c>
      <c r="F57" s="18">
        <v>2</v>
      </c>
      <c r="G57" s="17" t="s">
        <v>118</v>
      </c>
      <c r="H57" s="18">
        <v>8</v>
      </c>
      <c r="I57" s="19"/>
      <c r="J57" s="4" t="str">
        <f>"AZ" &amp; TEXT(E57, "000")</f>
        <v>AZ064</v>
      </c>
      <c r="K57" s="6">
        <f>IFERROR(VLOOKUP(J57,'Inadimplencia - FEV 2025'!$A$5:$E$85,4,0),"0")</f>
        <v>544.70000000000005</v>
      </c>
      <c r="L57" s="6">
        <f>IFERROR(VLOOKUP(J57,'Inadimplencia - Out 2025'!$A$5:$E$85,4,0),"0")</f>
        <v>550.33000000000004</v>
      </c>
      <c r="M57" s="31">
        <f t="shared" si="1"/>
        <v>5.6299999999999955</v>
      </c>
      <c r="N57" s="40" t="str">
        <f t="shared" si="0"/>
        <v>AUMENTOU</v>
      </c>
    </row>
    <row r="58" spans="1:14" x14ac:dyDescent="0.25">
      <c r="A58" s="35"/>
      <c r="B58" s="16" t="s">
        <v>144</v>
      </c>
      <c r="C58" s="17" t="s">
        <v>126</v>
      </c>
      <c r="D58" s="17" t="s">
        <v>117</v>
      </c>
      <c r="E58" s="18">
        <v>5</v>
      </c>
      <c r="F58" s="18">
        <v>2</v>
      </c>
      <c r="G58" s="17" t="s">
        <v>118</v>
      </c>
      <c r="H58" s="18">
        <v>8</v>
      </c>
      <c r="I58" s="19"/>
      <c r="J58" s="4" t="str">
        <f>"AZ" &amp; TEXT(E58, "000")</f>
        <v>AZ005</v>
      </c>
      <c r="K58" s="6">
        <f>IFERROR(VLOOKUP(J58,'Inadimplencia - FEV 2025'!$A$5:$E$85,4,0),"0")</f>
        <v>9524.82</v>
      </c>
      <c r="L58" s="6">
        <f>IFERROR(VLOOKUP(J58,'Inadimplencia - Out 2025'!$A$5:$E$85,4,0),"0")</f>
        <v>7541.22</v>
      </c>
      <c r="M58" s="31">
        <f t="shared" si="1"/>
        <v>-1983.5999999999995</v>
      </c>
      <c r="N58" s="41" t="str">
        <f t="shared" si="0"/>
        <v>DIMINUIU</v>
      </c>
    </row>
    <row r="59" spans="1:14" x14ac:dyDescent="0.25">
      <c r="A59" s="35"/>
      <c r="B59" s="16" t="s">
        <v>154</v>
      </c>
      <c r="C59" s="17" t="s">
        <v>291</v>
      </c>
      <c r="D59" s="17" t="s">
        <v>951</v>
      </c>
      <c r="E59" s="18">
        <v>56</v>
      </c>
      <c r="F59" s="18">
        <v>2</v>
      </c>
      <c r="G59" s="17" t="s">
        <v>133</v>
      </c>
      <c r="H59" s="18">
        <v>8</v>
      </c>
      <c r="I59" s="19"/>
      <c r="J59" s="4" t="str">
        <f>"PI" &amp; TEXT(E59, "000")</f>
        <v>PI056</v>
      </c>
      <c r="K59" s="6">
        <f>IFERROR(VLOOKUP(J59,'Inadimplencia - FEV 2025'!$A$5:$E$85,4,0),"0")</f>
        <v>7662.46</v>
      </c>
      <c r="L59" s="6">
        <f>IFERROR(VLOOKUP(J59,'Inadimplencia - Out 2025'!$A$5:$E$85,4,0),"0")</f>
        <v>2196.92</v>
      </c>
      <c r="M59" s="31">
        <f t="shared" si="1"/>
        <v>-5465.54</v>
      </c>
      <c r="N59" s="41" t="str">
        <f t="shared" si="0"/>
        <v>DIMINUIU</v>
      </c>
    </row>
    <row r="60" spans="1:14" x14ac:dyDescent="0.25">
      <c r="A60" s="35"/>
      <c r="B60" s="20" t="s">
        <v>162</v>
      </c>
      <c r="C60" s="17" t="s">
        <v>130</v>
      </c>
      <c r="D60" s="17" t="s">
        <v>117</v>
      </c>
      <c r="E60" s="18">
        <v>7</v>
      </c>
      <c r="F60" s="18">
        <v>2</v>
      </c>
      <c r="G60" s="17" t="s">
        <v>118</v>
      </c>
      <c r="H60" s="18">
        <v>8</v>
      </c>
      <c r="I60" s="19"/>
      <c r="J60" s="4" t="str">
        <f>"AZ" &amp; TEXT(E60, "000")</f>
        <v>AZ007</v>
      </c>
      <c r="K60" s="6">
        <f>IFERROR(VLOOKUP(J60,'Inadimplencia - FEV 2025'!$A$5:$E$85,4,0),"0")</f>
        <v>6496.29</v>
      </c>
      <c r="L60" s="6">
        <f>IFERROR(VLOOKUP(J60,'Inadimplencia - Out 2025'!$A$5:$E$85,4,0),"0")</f>
        <v>2230.5300000000002</v>
      </c>
      <c r="M60" s="31">
        <f t="shared" si="1"/>
        <v>-4265.76</v>
      </c>
      <c r="N60" s="41" t="str">
        <f t="shared" si="0"/>
        <v>DIMINUIU</v>
      </c>
    </row>
    <row r="61" spans="1:14" x14ac:dyDescent="0.25">
      <c r="A61" s="35"/>
      <c r="B61" s="20" t="s">
        <v>170</v>
      </c>
      <c r="C61" s="17" t="s">
        <v>386</v>
      </c>
      <c r="D61" s="17" t="s">
        <v>310</v>
      </c>
      <c r="E61" s="18">
        <v>48</v>
      </c>
      <c r="F61" s="18">
        <v>2</v>
      </c>
      <c r="G61" s="17" t="s">
        <v>118</v>
      </c>
      <c r="H61" s="18">
        <v>8</v>
      </c>
      <c r="I61" s="19"/>
      <c r="J61" s="4" t="str">
        <f>"BO" &amp; TEXT(E61, "000")</f>
        <v>BO048</v>
      </c>
      <c r="K61" s="6">
        <f>IFERROR(VLOOKUP(J61,'Inadimplencia - FEV 2025'!$A$5:$E$85,4,0),"0")</f>
        <v>4869.71</v>
      </c>
      <c r="L61" s="6">
        <f>IFERROR(VLOOKUP(J61,'Inadimplencia - Out 2025'!$A$5:$E$85,4,0),"0")</f>
        <v>2198.96</v>
      </c>
      <c r="M61" s="31">
        <f t="shared" si="1"/>
        <v>-2670.75</v>
      </c>
      <c r="N61" s="41" t="str">
        <f t="shared" si="0"/>
        <v>DIMINUIU</v>
      </c>
    </row>
    <row r="62" spans="1:14" x14ac:dyDescent="0.25">
      <c r="A62" s="35"/>
      <c r="B62" s="20" t="s">
        <v>186</v>
      </c>
      <c r="C62" s="21" t="s">
        <v>991</v>
      </c>
      <c r="D62" s="21" t="s">
        <v>951</v>
      </c>
      <c r="E62" s="22">
        <v>22</v>
      </c>
      <c r="F62" s="22">
        <v>2</v>
      </c>
      <c r="G62" s="21" t="s">
        <v>118</v>
      </c>
      <c r="H62" s="22">
        <v>8</v>
      </c>
      <c r="I62" s="19"/>
      <c r="J62" s="4" t="str">
        <f>"PI" &amp; TEXT(E62, "000")</f>
        <v>PI022</v>
      </c>
      <c r="K62" s="6">
        <f>IFERROR(VLOOKUP(J62,'Inadimplencia - FEV 2025'!$A$5:$E$85,4,0),"0")</f>
        <v>1647.06</v>
      </c>
      <c r="L62" s="6">
        <f>IFERROR(VLOOKUP(J62,'Inadimplencia - Out 2025'!$A$5:$E$85,4,0),"0")</f>
        <v>578.13</v>
      </c>
      <c r="M62" s="31">
        <f t="shared" si="1"/>
        <v>-1068.9299999999998</v>
      </c>
      <c r="N62" s="41" t="str">
        <f t="shared" si="0"/>
        <v>DIMINUIU</v>
      </c>
    </row>
    <row r="63" spans="1:14" x14ac:dyDescent="0.25">
      <c r="A63" s="35"/>
      <c r="B63" s="16" t="s">
        <v>192</v>
      </c>
      <c r="C63" s="17" t="s">
        <v>656</v>
      </c>
      <c r="D63" s="17" t="s">
        <v>654</v>
      </c>
      <c r="E63" s="18">
        <v>2</v>
      </c>
      <c r="F63" s="18">
        <v>2</v>
      </c>
      <c r="G63" s="17" t="s">
        <v>118</v>
      </c>
      <c r="H63" s="18">
        <v>8</v>
      </c>
      <c r="I63" s="19"/>
      <c r="J63" s="4" t="str">
        <f>"JA" &amp; TEXT(E63, "000")</f>
        <v>JA002</v>
      </c>
      <c r="K63" s="6">
        <f>IFERROR(VLOOKUP(J63,'Inadimplencia - FEV 2025'!$A$5:$E$85,4,0),"0")</f>
        <v>1119.52</v>
      </c>
      <c r="L63" s="6">
        <f>IFERROR(VLOOKUP(J63,'Inadimplencia - Out 2025'!$A$5:$E$85,4,0),"0")</f>
        <v>599.4</v>
      </c>
      <c r="M63" s="31">
        <f t="shared" si="1"/>
        <v>-520.12</v>
      </c>
      <c r="N63" s="41" t="str">
        <f t="shared" si="0"/>
        <v>DIMINUIU</v>
      </c>
    </row>
    <row r="64" spans="1:14" x14ac:dyDescent="0.25">
      <c r="A64" s="35"/>
      <c r="B64" s="16" t="s">
        <v>224</v>
      </c>
      <c r="C64" s="21" t="s">
        <v>235</v>
      </c>
      <c r="D64" s="21" t="s">
        <v>117</v>
      </c>
      <c r="E64" s="22">
        <v>69</v>
      </c>
      <c r="F64" s="22">
        <v>2</v>
      </c>
      <c r="G64" s="21" t="s">
        <v>133</v>
      </c>
      <c r="H64" s="22">
        <v>4</v>
      </c>
      <c r="I64" s="19"/>
      <c r="J64" s="4" t="str">
        <f>"AZ" &amp; TEXT(E64, "000")</f>
        <v>AZ069</v>
      </c>
      <c r="K64" s="6">
        <f>IFERROR(VLOOKUP(J64,'Inadimplencia - FEV 2025'!$A$5:$E$85,4,0),"0")</f>
        <v>574.82000000000005</v>
      </c>
      <c r="L64" s="6">
        <f>IFERROR(VLOOKUP(J64,'Inadimplencia - Out 2025'!$A$5:$E$85,4,0),"0")</f>
        <v>550.33000000000004</v>
      </c>
      <c r="M64" s="31">
        <f t="shared" si="1"/>
        <v>-24.490000000000009</v>
      </c>
      <c r="N64" s="41" t="str">
        <f t="shared" si="0"/>
        <v>DIMINUIU</v>
      </c>
    </row>
    <row r="65" spans="1:14" x14ac:dyDescent="0.25">
      <c r="A65" s="36"/>
      <c r="B65" s="16" t="s">
        <v>268</v>
      </c>
      <c r="C65" s="21" t="s">
        <v>593</v>
      </c>
      <c r="D65" s="21" t="s">
        <v>513</v>
      </c>
      <c r="E65" s="22">
        <v>47</v>
      </c>
      <c r="F65" s="22">
        <v>2</v>
      </c>
      <c r="G65" s="21" t="s">
        <v>133</v>
      </c>
      <c r="H65" s="22">
        <v>8</v>
      </c>
      <c r="I65" s="19"/>
      <c r="J65" s="4" t="str">
        <f>"GA" &amp; TEXT(E65, "000")</f>
        <v>GA047</v>
      </c>
      <c r="K65" s="6" t="str">
        <f>IFERROR(VLOOKUP(J65,'Inadimplencia - FEV 2025'!$A$5:$E$85,4,0),"0")</f>
        <v>0</v>
      </c>
      <c r="L65" s="6">
        <f>IFERROR(VLOOKUP(J65,'Inadimplencia - Out 2025'!$A$5:$E$85,4,0),"0")</f>
        <v>3368.58</v>
      </c>
      <c r="M65" s="31">
        <f t="shared" si="1"/>
        <v>3368.58</v>
      </c>
      <c r="N65" s="41" t="s">
        <v>1582</v>
      </c>
    </row>
    <row r="66" spans="1:14" x14ac:dyDescent="0.25">
      <c r="A66" s="36"/>
      <c r="B66" s="16" t="s">
        <v>270</v>
      </c>
      <c r="C66" s="17" t="s">
        <v>593</v>
      </c>
      <c r="D66" s="17" t="s">
        <v>513</v>
      </c>
      <c r="E66" s="18">
        <v>46</v>
      </c>
      <c r="F66" s="18">
        <v>2</v>
      </c>
      <c r="G66" s="17" t="s">
        <v>118</v>
      </c>
      <c r="H66" s="18">
        <v>8</v>
      </c>
      <c r="I66" s="19"/>
      <c r="J66" s="4" t="str">
        <f>"GA" &amp; TEXT(E66, "000")</f>
        <v>GA046</v>
      </c>
      <c r="K66" s="6" t="str">
        <f>IFERROR(VLOOKUP(J66,'Inadimplencia - FEV 2025'!$A$5:$E$85,4,0),"0")</f>
        <v>0</v>
      </c>
      <c r="L66" s="6">
        <f>IFERROR(VLOOKUP(J66,'Inadimplencia - Out 2025'!$A$5:$E$85,4,0),"0")</f>
        <v>3366.22</v>
      </c>
      <c r="M66" s="31">
        <f t="shared" si="1"/>
        <v>3366.22</v>
      </c>
      <c r="N66" s="41" t="s">
        <v>1582</v>
      </c>
    </row>
    <row r="67" spans="1:14" x14ac:dyDescent="0.25">
      <c r="A67" s="36"/>
      <c r="B67" s="20" t="s">
        <v>272</v>
      </c>
      <c r="C67" s="27" t="s">
        <v>861</v>
      </c>
      <c r="D67" s="27" t="s">
        <v>767</v>
      </c>
      <c r="E67" s="28">
        <v>51</v>
      </c>
      <c r="F67" s="28">
        <v>2</v>
      </c>
      <c r="G67" s="27" t="s">
        <v>118</v>
      </c>
      <c r="H67" s="28">
        <v>8</v>
      </c>
      <c r="I67" s="19"/>
      <c r="J67" s="4" t="str">
        <f>"OR" &amp; TEXT(E67, "000")</f>
        <v>OR051</v>
      </c>
      <c r="K67" s="6" t="str">
        <f>IFERROR(VLOOKUP(J67,'Inadimplencia - FEV 2025'!$A$5:$E$85,4,0),"0")</f>
        <v>0</v>
      </c>
      <c r="L67" s="6">
        <f>IFERROR(VLOOKUP(J67,'Inadimplencia - Out 2025'!$A$5:$E$85,4,0),"0")</f>
        <v>3366.22</v>
      </c>
      <c r="M67" s="31">
        <f t="shared" si="1"/>
        <v>3366.22</v>
      </c>
      <c r="N67" s="41" t="s">
        <v>1582</v>
      </c>
    </row>
    <row r="68" spans="1:14" x14ac:dyDescent="0.25">
      <c r="A68" s="36"/>
      <c r="B68" s="16" t="s">
        <v>274</v>
      </c>
      <c r="C68" s="17" t="s">
        <v>1095</v>
      </c>
      <c r="D68" s="17" t="s">
        <v>951</v>
      </c>
      <c r="E68" s="18">
        <v>77</v>
      </c>
      <c r="F68" s="18">
        <v>2</v>
      </c>
      <c r="G68" s="17" t="s">
        <v>118</v>
      </c>
      <c r="H68" s="18">
        <v>8</v>
      </c>
      <c r="I68" s="19"/>
      <c r="J68" s="4" t="str">
        <f>"PI" &amp; TEXT(E68, "000")</f>
        <v>PI077</v>
      </c>
      <c r="K68" s="6" t="str">
        <f>IFERROR(VLOOKUP(J68,'Inadimplencia - FEV 2025'!$A$5:$E$85,4,0),"0")</f>
        <v>0</v>
      </c>
      <c r="L68" s="6">
        <f>IFERROR(VLOOKUP(J68,'Inadimplencia - Out 2025'!$A$5:$E$85,4,0),"0")</f>
        <v>1793.1</v>
      </c>
      <c r="M68" s="31">
        <f t="shared" si="1"/>
        <v>1793.1</v>
      </c>
      <c r="N68" s="41" t="s">
        <v>1582</v>
      </c>
    </row>
    <row r="69" spans="1:14" x14ac:dyDescent="0.25">
      <c r="A69" s="36"/>
      <c r="B69" s="20" t="s">
        <v>276</v>
      </c>
      <c r="C69" s="27" t="s">
        <v>833</v>
      </c>
      <c r="D69" s="27" t="s">
        <v>767</v>
      </c>
      <c r="E69" s="28">
        <v>57</v>
      </c>
      <c r="F69" s="28">
        <v>2</v>
      </c>
      <c r="G69" s="27" t="s">
        <v>133</v>
      </c>
      <c r="H69" s="28">
        <v>8</v>
      </c>
      <c r="I69" s="19"/>
      <c r="J69" s="4" t="str">
        <f>"OR" &amp; TEXT(E69, "000")</f>
        <v>OR057</v>
      </c>
      <c r="K69" s="6" t="str">
        <f>IFERROR(VLOOKUP(J69,'Inadimplencia - FEV 2025'!$A$5:$E$85,4,0),"0")</f>
        <v>0</v>
      </c>
      <c r="L69" s="6">
        <f>IFERROR(VLOOKUP(J69,'Inadimplencia - Out 2025'!$A$5:$E$85,4,0),"0")</f>
        <v>1686.66</v>
      </c>
      <c r="M69" s="31">
        <f t="shared" si="1"/>
        <v>1686.66</v>
      </c>
      <c r="N69" s="41" t="s">
        <v>1582</v>
      </c>
    </row>
    <row r="70" spans="1:14" x14ac:dyDescent="0.25">
      <c r="A70" s="36"/>
      <c r="B70" s="16" t="s">
        <v>278</v>
      </c>
      <c r="C70" s="21" t="s">
        <v>609</v>
      </c>
      <c r="D70" s="21" t="s">
        <v>513</v>
      </c>
      <c r="E70" s="22">
        <v>57</v>
      </c>
      <c r="F70" s="22">
        <v>2</v>
      </c>
      <c r="G70" s="21" t="s">
        <v>118</v>
      </c>
      <c r="H70" s="22">
        <v>8</v>
      </c>
      <c r="I70" s="19"/>
      <c r="J70" s="4" t="str">
        <f>"GA" &amp; TEXT(E70, "000")</f>
        <v>GA057</v>
      </c>
      <c r="K70" s="6" t="str">
        <f>IFERROR(VLOOKUP(J70,'Inadimplencia - FEV 2025'!$A$5:$E$85,4,0),"0")</f>
        <v>0</v>
      </c>
      <c r="L70" s="6">
        <f>IFERROR(VLOOKUP(J70,'Inadimplencia - Out 2025'!$A$5:$E$85,4,0),"0")</f>
        <v>1667.87</v>
      </c>
      <c r="M70" s="31">
        <f t="shared" si="1"/>
        <v>1667.87</v>
      </c>
      <c r="N70" s="41" t="s">
        <v>1582</v>
      </c>
    </row>
    <row r="71" spans="1:14" x14ac:dyDescent="0.25">
      <c r="A71" s="36"/>
      <c r="B71" s="16" t="s">
        <v>280</v>
      </c>
      <c r="C71" s="17" t="s">
        <v>833</v>
      </c>
      <c r="D71" s="17" t="s">
        <v>767</v>
      </c>
      <c r="E71" s="18">
        <v>36</v>
      </c>
      <c r="F71" s="18">
        <v>2</v>
      </c>
      <c r="G71" s="17" t="s">
        <v>118</v>
      </c>
      <c r="H71" s="18">
        <v>8</v>
      </c>
      <c r="I71" s="19"/>
      <c r="J71" s="4" t="str">
        <f>"OR" &amp; TEXT(E71, "000")</f>
        <v>OR036</v>
      </c>
      <c r="K71" s="6" t="str">
        <f>IFERROR(VLOOKUP(J71,'Inadimplencia - FEV 2025'!$A$5:$E$85,4,0),"0")</f>
        <v>0</v>
      </c>
      <c r="L71" s="6">
        <f>IFERROR(VLOOKUP(J71,'Inadimplencia - Out 2025'!$A$5:$E$85,4,0),"0")</f>
        <v>1127.69</v>
      </c>
      <c r="M71" s="31">
        <f t="shared" ref="M71:M134" si="2">L71-K71</f>
        <v>1127.69</v>
      </c>
      <c r="N71" s="41" t="s">
        <v>1582</v>
      </c>
    </row>
    <row r="72" spans="1:14" x14ac:dyDescent="0.25">
      <c r="A72" s="36"/>
      <c r="B72" s="16" t="s">
        <v>282</v>
      </c>
      <c r="C72" s="21" t="s">
        <v>426</v>
      </c>
      <c r="D72" s="21" t="s">
        <v>310</v>
      </c>
      <c r="E72" s="22">
        <v>68</v>
      </c>
      <c r="F72" s="22">
        <v>2</v>
      </c>
      <c r="G72" s="21" t="s">
        <v>118</v>
      </c>
      <c r="H72" s="22">
        <v>8</v>
      </c>
      <c r="I72" s="19"/>
      <c r="J72" s="4" t="str">
        <f>"BO" &amp; TEXT(E72, "000")</f>
        <v>BO068</v>
      </c>
      <c r="K72" s="6" t="str">
        <f>IFERROR(VLOOKUP(J72,'Inadimplencia - FEV 2025'!$A$5:$E$85,4,0),"0")</f>
        <v>0</v>
      </c>
      <c r="L72" s="6">
        <f>IFERROR(VLOOKUP(J72,'Inadimplencia - Out 2025'!$A$5:$E$85,4,0),"0")</f>
        <v>1108.9000000000001</v>
      </c>
      <c r="M72" s="31">
        <f t="shared" si="2"/>
        <v>1108.9000000000001</v>
      </c>
      <c r="N72" s="41" t="s">
        <v>1582</v>
      </c>
    </row>
    <row r="73" spans="1:14" x14ac:dyDescent="0.25">
      <c r="A73" s="36"/>
      <c r="B73" s="20" t="s">
        <v>284</v>
      </c>
      <c r="C73" s="21" t="s">
        <v>517</v>
      </c>
      <c r="D73" s="21" t="s">
        <v>513</v>
      </c>
      <c r="E73" s="22">
        <v>3</v>
      </c>
      <c r="F73" s="22">
        <v>2</v>
      </c>
      <c r="G73" s="21" t="s">
        <v>118</v>
      </c>
      <c r="H73" s="22">
        <v>8</v>
      </c>
      <c r="I73" s="19"/>
      <c r="J73" s="4" t="str">
        <f>"GA" &amp; TEXT(E73, "000")</f>
        <v>GA003</v>
      </c>
      <c r="K73" s="6" t="str">
        <f>IFERROR(VLOOKUP(J73,'Inadimplencia - FEV 2025'!$A$5:$E$85,4,0),"0")</f>
        <v>0</v>
      </c>
      <c r="L73" s="6">
        <f>IFERROR(VLOOKUP(J73,'Inadimplencia - Out 2025'!$A$5:$E$85,4,0),"0")</f>
        <v>1108.9000000000001</v>
      </c>
      <c r="M73" s="31">
        <f t="shared" si="2"/>
        <v>1108.9000000000001</v>
      </c>
      <c r="N73" s="41" t="s">
        <v>1582</v>
      </c>
    </row>
    <row r="74" spans="1:14" x14ac:dyDescent="0.25">
      <c r="A74" s="36"/>
      <c r="B74" s="20" t="s">
        <v>286</v>
      </c>
      <c r="C74" s="17" t="s">
        <v>1079</v>
      </c>
      <c r="D74" s="17" t="s">
        <v>951</v>
      </c>
      <c r="E74" s="18">
        <v>69</v>
      </c>
      <c r="F74" s="18">
        <v>2</v>
      </c>
      <c r="G74" s="17" t="s">
        <v>118</v>
      </c>
      <c r="H74" s="18">
        <v>8</v>
      </c>
      <c r="I74" s="19"/>
      <c r="J74" s="4" t="str">
        <f>"PI" &amp; TEXT(E74, "000")</f>
        <v>PI069</v>
      </c>
      <c r="K74" s="6" t="str">
        <f>IFERROR(VLOOKUP(J74,'Inadimplencia - FEV 2025'!$A$5:$E$85,4,0),"0")</f>
        <v>0</v>
      </c>
      <c r="L74" s="6">
        <f>IFERROR(VLOOKUP(J74,'Inadimplencia - Out 2025'!$A$5:$E$85,4,0),"0")</f>
        <v>570.07000000000005</v>
      </c>
      <c r="M74" s="31">
        <f t="shared" si="2"/>
        <v>570.07000000000005</v>
      </c>
      <c r="N74" s="41" t="s">
        <v>1582</v>
      </c>
    </row>
    <row r="75" spans="1:14" x14ac:dyDescent="0.25">
      <c r="A75" s="36"/>
      <c r="B75" s="16" t="s">
        <v>288</v>
      </c>
      <c r="C75" s="17" t="s">
        <v>492</v>
      </c>
      <c r="D75" s="17" t="s">
        <v>310</v>
      </c>
      <c r="E75" s="18">
        <v>104</v>
      </c>
      <c r="F75" s="18">
        <v>2</v>
      </c>
      <c r="G75" s="17" t="s">
        <v>118</v>
      </c>
      <c r="H75" s="18">
        <v>8</v>
      </c>
      <c r="I75" s="19"/>
      <c r="J75" s="4" t="str">
        <f>"BO" &amp; TEXT(E75, "000")</f>
        <v>BO104</v>
      </c>
      <c r="K75" s="6" t="str">
        <f>IFERROR(VLOOKUP(J75,'Inadimplencia - FEV 2025'!$A$5:$E$85,4,0),"0")</f>
        <v>0</v>
      </c>
      <c r="L75" s="6">
        <f>IFERROR(VLOOKUP(J75,'Inadimplencia - Out 2025'!$A$5:$E$85,4,0),"0")</f>
        <v>566.57000000000005</v>
      </c>
      <c r="M75" s="31">
        <f t="shared" si="2"/>
        <v>566.57000000000005</v>
      </c>
      <c r="N75" s="41" t="s">
        <v>1582</v>
      </c>
    </row>
    <row r="76" spans="1:14" x14ac:dyDescent="0.25">
      <c r="A76" s="36"/>
      <c r="B76" s="16" t="s">
        <v>290</v>
      </c>
      <c r="C76" s="21" t="s">
        <v>500</v>
      </c>
      <c r="D76" s="21" t="s">
        <v>310</v>
      </c>
      <c r="E76" s="22">
        <v>108</v>
      </c>
      <c r="F76" s="22">
        <v>2</v>
      </c>
      <c r="G76" s="21" t="s">
        <v>118</v>
      </c>
      <c r="H76" s="22">
        <v>8</v>
      </c>
      <c r="I76" s="19"/>
      <c r="J76" s="4" t="str">
        <f>"BO" &amp; TEXT(E76, "000")</f>
        <v>BO108</v>
      </c>
      <c r="K76" s="6" t="str">
        <f>IFERROR(VLOOKUP(J76,'Inadimplencia - FEV 2025'!$A$5:$E$85,4,0),"0")</f>
        <v>0</v>
      </c>
      <c r="L76" s="6">
        <f>IFERROR(VLOOKUP(J76,'Inadimplencia - Out 2025'!$A$5:$E$85,4,0),"0")</f>
        <v>566.57000000000005</v>
      </c>
      <c r="M76" s="31">
        <f t="shared" si="2"/>
        <v>566.57000000000005</v>
      </c>
      <c r="N76" s="41" t="s">
        <v>1582</v>
      </c>
    </row>
    <row r="77" spans="1:14" x14ac:dyDescent="0.25">
      <c r="A77" s="36"/>
      <c r="B77" s="20" t="s">
        <v>292</v>
      </c>
      <c r="C77" s="21" t="s">
        <v>506</v>
      </c>
      <c r="D77" s="21" t="s">
        <v>310</v>
      </c>
      <c r="E77" s="22">
        <v>112</v>
      </c>
      <c r="F77" s="22">
        <v>2</v>
      </c>
      <c r="G77" s="21" t="s">
        <v>118</v>
      </c>
      <c r="H77" s="22">
        <v>8</v>
      </c>
      <c r="I77" s="19"/>
      <c r="J77" s="4" t="str">
        <f>"BO" &amp; TEXT(E77, "000")</f>
        <v>BO112</v>
      </c>
      <c r="K77" s="6" t="str">
        <f>IFERROR(VLOOKUP(J77,'Inadimplencia - FEV 2025'!$A$5:$E$85,4,0),"0")</f>
        <v>0</v>
      </c>
      <c r="L77" s="6">
        <f>IFERROR(VLOOKUP(J77,'Inadimplencia - Out 2025'!$A$5:$E$85,4,0),"0")</f>
        <v>566.57000000000005</v>
      </c>
      <c r="M77" s="31">
        <f t="shared" si="2"/>
        <v>566.57000000000005</v>
      </c>
      <c r="N77" s="41" t="s">
        <v>1582</v>
      </c>
    </row>
    <row r="78" spans="1:14" x14ac:dyDescent="0.25">
      <c r="A78" s="36"/>
      <c r="B78" s="16" t="s">
        <v>294</v>
      </c>
      <c r="C78" s="21" t="s">
        <v>977</v>
      </c>
      <c r="D78" s="21" t="s">
        <v>951</v>
      </c>
      <c r="E78" s="22">
        <v>15</v>
      </c>
      <c r="F78" s="22">
        <v>2</v>
      </c>
      <c r="G78" s="21" t="s">
        <v>118</v>
      </c>
      <c r="H78" s="22">
        <v>8</v>
      </c>
      <c r="I78" s="19"/>
      <c r="J78" s="4" t="str">
        <f>"PI" &amp; TEXT(E78, "000")</f>
        <v>PI015</v>
      </c>
      <c r="K78" s="6" t="str">
        <f>IFERROR(VLOOKUP(J78,'Inadimplencia - FEV 2025'!$A$5:$E$85,4,0),"0")</f>
        <v>0</v>
      </c>
      <c r="L78" s="6">
        <f>IFERROR(VLOOKUP(J78,'Inadimplencia - Out 2025'!$A$5:$E$85,4,0),"0")</f>
        <v>558.97</v>
      </c>
      <c r="M78" s="31">
        <f t="shared" si="2"/>
        <v>558.97</v>
      </c>
      <c r="N78" s="41" t="s">
        <v>1582</v>
      </c>
    </row>
    <row r="79" spans="1:14" x14ac:dyDescent="0.25">
      <c r="A79" s="36"/>
      <c r="B79" s="16" t="s">
        <v>296</v>
      </c>
      <c r="C79" s="21" t="s">
        <v>676</v>
      </c>
      <c r="D79" s="21" t="s">
        <v>654</v>
      </c>
      <c r="E79" s="22">
        <v>12</v>
      </c>
      <c r="F79" s="22">
        <v>2</v>
      </c>
      <c r="G79" s="21" t="s">
        <v>118</v>
      </c>
      <c r="H79" s="22">
        <v>8</v>
      </c>
      <c r="I79" s="19"/>
      <c r="J79" s="4" t="str">
        <f>"JA" &amp; TEXT(E79, "000")</f>
        <v>JA012</v>
      </c>
      <c r="K79" s="6" t="str">
        <f>IFERROR(VLOOKUP(J79,'Inadimplencia - FEV 2025'!$A$5:$E$85,4,0),"0")</f>
        <v>0</v>
      </c>
      <c r="L79" s="6">
        <f>IFERROR(VLOOKUP(J79,'Inadimplencia - Out 2025'!$A$5:$E$85,4,0),"0")</f>
        <v>558.57000000000005</v>
      </c>
      <c r="M79" s="31">
        <f t="shared" si="2"/>
        <v>558.57000000000005</v>
      </c>
      <c r="N79" s="41" t="s">
        <v>1582</v>
      </c>
    </row>
    <row r="80" spans="1:14" x14ac:dyDescent="0.25">
      <c r="A80" s="36"/>
      <c r="B80" s="20" t="s">
        <v>298</v>
      </c>
      <c r="C80" s="21" t="s">
        <v>1087</v>
      </c>
      <c r="D80" s="21" t="s">
        <v>951</v>
      </c>
      <c r="E80" s="22">
        <v>73</v>
      </c>
      <c r="F80" s="22">
        <v>2</v>
      </c>
      <c r="G80" s="21" t="s">
        <v>118</v>
      </c>
      <c r="H80" s="22">
        <v>8</v>
      </c>
      <c r="I80" s="19"/>
      <c r="J80" s="4" t="str">
        <f>"PI" &amp; TEXT(E80, "000")</f>
        <v>PI073</v>
      </c>
      <c r="K80" s="6" t="str">
        <f>IFERROR(VLOOKUP(J80,'Inadimplencia - FEV 2025'!$A$5:$E$85,4,0),"0")</f>
        <v>0</v>
      </c>
      <c r="L80" s="6">
        <f>IFERROR(VLOOKUP(J80,'Inadimplencia - Out 2025'!$A$5:$E$85,4,0),"0")</f>
        <v>558.57000000000005</v>
      </c>
      <c r="M80" s="31">
        <f t="shared" si="2"/>
        <v>558.57000000000005</v>
      </c>
      <c r="N80" s="41" t="s">
        <v>1582</v>
      </c>
    </row>
    <row r="81" spans="1:14" x14ac:dyDescent="0.25">
      <c r="A81" s="36"/>
      <c r="B81" s="20" t="s">
        <v>264</v>
      </c>
      <c r="C81" s="21" t="s">
        <v>171</v>
      </c>
      <c r="D81" s="21" t="s">
        <v>117</v>
      </c>
      <c r="E81" s="22">
        <v>30</v>
      </c>
      <c r="F81" s="22">
        <v>2</v>
      </c>
      <c r="G81" s="21" t="s">
        <v>118</v>
      </c>
      <c r="H81" s="22">
        <v>8</v>
      </c>
      <c r="I81" s="19"/>
      <c r="J81" s="4" t="str">
        <f>"AZ" &amp; TEXT(E81, "000")</f>
        <v>AZ030</v>
      </c>
      <c r="K81" s="6" t="str">
        <f>IFERROR(VLOOKUP(J81,'Inadimplencia - FEV 2025'!$A$5:$E$85,4,0),"0")</f>
        <v>0</v>
      </c>
      <c r="L81" s="6">
        <f>IFERROR(VLOOKUP(J81,'Inadimplencia - Out 2025'!$A$5:$E$85,4,0),"0")</f>
        <v>550.33000000000004</v>
      </c>
      <c r="M81" s="31">
        <f t="shared" si="2"/>
        <v>550.33000000000004</v>
      </c>
      <c r="N81" s="41" t="s">
        <v>1582</v>
      </c>
    </row>
    <row r="82" spans="1:14" x14ac:dyDescent="0.25">
      <c r="A82" s="36"/>
      <c r="B82" s="16" t="s">
        <v>300</v>
      </c>
      <c r="C82" s="17" t="s">
        <v>510</v>
      </c>
      <c r="D82" s="17" t="s">
        <v>310</v>
      </c>
      <c r="E82" s="18">
        <v>114</v>
      </c>
      <c r="F82" s="18">
        <v>2</v>
      </c>
      <c r="G82" s="17" t="s">
        <v>118</v>
      </c>
      <c r="H82" s="18">
        <v>8</v>
      </c>
      <c r="I82" s="19"/>
      <c r="J82" s="4" t="str">
        <f>"BO" &amp; TEXT(E82, "000")</f>
        <v>BO114</v>
      </c>
      <c r="K82" s="6" t="str">
        <f>IFERROR(VLOOKUP(J82,'Inadimplencia - FEV 2025'!$A$5:$E$85,4,0),"0")</f>
        <v>0</v>
      </c>
      <c r="L82" s="6">
        <f>IFERROR(VLOOKUP(J82,'Inadimplencia - Out 2025'!$A$5:$E$85,4,0),"0")</f>
        <v>550.33000000000004</v>
      </c>
      <c r="M82" s="31">
        <f t="shared" si="2"/>
        <v>550.33000000000004</v>
      </c>
      <c r="N82" s="41" t="s">
        <v>1582</v>
      </c>
    </row>
    <row r="83" spans="1:14" x14ac:dyDescent="0.25">
      <c r="A83" s="37"/>
      <c r="B83" s="16" t="s">
        <v>123</v>
      </c>
      <c r="C83" s="17" t="s">
        <v>1013</v>
      </c>
      <c r="D83" s="17" t="s">
        <v>951</v>
      </c>
      <c r="E83" s="18">
        <v>33</v>
      </c>
      <c r="F83" s="18">
        <v>2</v>
      </c>
      <c r="G83" s="17" t="s">
        <v>118</v>
      </c>
      <c r="H83" s="18">
        <v>8</v>
      </c>
      <c r="I83" s="19"/>
      <c r="J83" s="4" t="str">
        <f>"PI" &amp; TEXT(E83, "000")</f>
        <v>PI033</v>
      </c>
      <c r="K83" s="6">
        <f>IFERROR(VLOOKUP(J83,'Inadimplencia - FEV 2025'!$A$5:$E$85,4,0),"0")</f>
        <v>77430.58</v>
      </c>
      <c r="L83" s="6" t="str">
        <f>IFERROR(VLOOKUP(J83,'Inadimplencia - Out 2025'!$A$5:$E$85,4,0),"0")</f>
        <v>0</v>
      </c>
      <c r="M83" s="31">
        <f t="shared" si="2"/>
        <v>-77430.58</v>
      </c>
      <c r="N83" s="39" t="s">
        <v>1583</v>
      </c>
    </row>
    <row r="84" spans="1:14" x14ac:dyDescent="0.25">
      <c r="A84" s="37"/>
      <c r="B84" s="23" t="s">
        <v>156</v>
      </c>
      <c r="C84" s="17" t="s">
        <v>694</v>
      </c>
      <c r="D84" s="17" t="s">
        <v>654</v>
      </c>
      <c r="E84" s="18">
        <v>21</v>
      </c>
      <c r="F84" s="18">
        <v>2</v>
      </c>
      <c r="G84" s="17" t="s">
        <v>118</v>
      </c>
      <c r="H84" s="18">
        <v>8</v>
      </c>
      <c r="I84" s="19"/>
      <c r="J84" s="4" t="str">
        <f>"JA" &amp; TEXT(E84, "000")</f>
        <v>JA021</v>
      </c>
      <c r="K84" s="6">
        <f>IFERROR(VLOOKUP(J84,'Inadimplencia - FEV 2025'!$A$5:$E$85,4,0),"0")</f>
        <v>7359.13</v>
      </c>
      <c r="L84" s="6" t="str">
        <f>IFERROR(VLOOKUP(J84,'Inadimplencia - Out 2025'!$A$5:$E$85,4,0),"0")</f>
        <v>0</v>
      </c>
      <c r="M84" s="31">
        <f t="shared" si="2"/>
        <v>-7359.13</v>
      </c>
      <c r="N84" s="39" t="s">
        <v>1583</v>
      </c>
    </row>
    <row r="85" spans="1:14" x14ac:dyDescent="0.25">
      <c r="A85" s="37"/>
      <c r="B85" s="16" t="s">
        <v>188</v>
      </c>
      <c r="C85" s="27" t="s">
        <v>923</v>
      </c>
      <c r="D85" s="27" t="s">
        <v>767</v>
      </c>
      <c r="E85" s="28">
        <v>84</v>
      </c>
      <c r="F85" s="28">
        <v>2</v>
      </c>
      <c r="G85" s="27" t="s">
        <v>118</v>
      </c>
      <c r="H85" s="28">
        <v>8</v>
      </c>
      <c r="I85" s="19"/>
      <c r="J85" s="4" t="str">
        <f>"OR" &amp; TEXT(E85, "000")</f>
        <v>OR084</v>
      </c>
      <c r="K85" s="6">
        <f>IFERROR(VLOOKUP(J85,'Inadimplencia - FEV 2025'!$A$5:$E$85,4,0),"0")</f>
        <v>1142.3</v>
      </c>
      <c r="L85" s="6" t="str">
        <f>IFERROR(VLOOKUP(J85,'Inadimplencia - Out 2025'!$A$5:$E$85,4,0),"0")</f>
        <v>0</v>
      </c>
      <c r="M85" s="31">
        <f t="shared" si="2"/>
        <v>-1142.3</v>
      </c>
      <c r="N85" s="39" t="s">
        <v>1583</v>
      </c>
    </row>
    <row r="86" spans="1:14" x14ac:dyDescent="0.25">
      <c r="A86" s="37"/>
      <c r="B86" s="16" t="s">
        <v>190</v>
      </c>
      <c r="C86" s="17" t="s">
        <v>1045</v>
      </c>
      <c r="D86" s="17" t="s">
        <v>951</v>
      </c>
      <c r="E86" s="18">
        <v>49</v>
      </c>
      <c r="F86" s="18">
        <v>2</v>
      </c>
      <c r="G86" s="17" t="s">
        <v>118</v>
      </c>
      <c r="H86" s="18">
        <v>8</v>
      </c>
      <c r="I86" s="19"/>
      <c r="J86" s="4" t="str">
        <f>"PI" &amp; TEXT(E86, "000")</f>
        <v>PI049</v>
      </c>
      <c r="K86" s="6">
        <f>IFERROR(VLOOKUP(J86,'Inadimplencia - FEV 2025'!$A$5:$E$85,4,0),"0")</f>
        <v>1129.74</v>
      </c>
      <c r="L86" s="6" t="str">
        <f>IFERROR(VLOOKUP(J86,'Inadimplencia - Out 2025'!$A$5:$E$85,4,0),"0")</f>
        <v>0</v>
      </c>
      <c r="M86" s="31">
        <f t="shared" si="2"/>
        <v>-1129.74</v>
      </c>
      <c r="N86" s="39" t="s">
        <v>1583</v>
      </c>
    </row>
    <row r="87" spans="1:14" x14ac:dyDescent="0.25">
      <c r="A87" s="37"/>
      <c r="B87" s="20" t="s">
        <v>202</v>
      </c>
      <c r="C87" s="27" t="s">
        <v>793</v>
      </c>
      <c r="D87" s="27" t="s">
        <v>767</v>
      </c>
      <c r="E87" s="28">
        <v>14</v>
      </c>
      <c r="F87" s="28">
        <v>2</v>
      </c>
      <c r="G87" s="27" t="s">
        <v>118</v>
      </c>
      <c r="H87" s="28">
        <v>8</v>
      </c>
      <c r="I87" s="19"/>
      <c r="J87" s="4" t="str">
        <f>"OR" &amp; TEXT(E87, "000")</f>
        <v>OR014</v>
      </c>
      <c r="K87" s="6">
        <f>IFERROR(VLOOKUP(J87,'Inadimplencia - FEV 2025'!$A$5:$E$85,4,0),"0")</f>
        <v>1092.19</v>
      </c>
      <c r="L87" s="6" t="str">
        <f>IFERROR(VLOOKUP(J87,'Inadimplencia - Out 2025'!$A$5:$E$85,4,0),"0")</f>
        <v>0</v>
      </c>
      <c r="M87" s="31">
        <f t="shared" si="2"/>
        <v>-1092.19</v>
      </c>
      <c r="N87" s="39" t="s">
        <v>1583</v>
      </c>
    </row>
    <row r="88" spans="1:14" x14ac:dyDescent="0.25">
      <c r="A88" s="37"/>
      <c r="B88" s="20" t="s">
        <v>204</v>
      </c>
      <c r="C88" s="17" t="s">
        <v>925</v>
      </c>
      <c r="D88" s="17" t="s">
        <v>767</v>
      </c>
      <c r="E88" s="18">
        <v>86</v>
      </c>
      <c r="F88" s="18">
        <v>2</v>
      </c>
      <c r="G88" s="17" t="s">
        <v>118</v>
      </c>
      <c r="H88" s="18">
        <v>8</v>
      </c>
      <c r="I88" s="19"/>
      <c r="J88" s="4" t="str">
        <f>"OR" &amp; TEXT(E88, "000")</f>
        <v>OR086</v>
      </c>
      <c r="K88" s="6">
        <f>IFERROR(VLOOKUP(J88,'Inadimplencia - FEV 2025'!$A$5:$E$85,4,0),"0")</f>
        <v>1092.19</v>
      </c>
      <c r="L88" s="6" t="str">
        <f>IFERROR(VLOOKUP(J88,'Inadimplencia - Out 2025'!$A$5:$E$85,4,0),"0")</f>
        <v>0</v>
      </c>
      <c r="M88" s="31">
        <f t="shared" si="2"/>
        <v>-1092.19</v>
      </c>
      <c r="N88" s="39" t="s">
        <v>1583</v>
      </c>
    </row>
    <row r="89" spans="1:14" x14ac:dyDescent="0.25">
      <c r="A89" s="37"/>
      <c r="B89" s="20" t="s">
        <v>212</v>
      </c>
      <c r="C89" s="17" t="s">
        <v>231</v>
      </c>
      <c r="D89" s="17" t="s">
        <v>117</v>
      </c>
      <c r="E89" s="18">
        <v>62</v>
      </c>
      <c r="F89" s="18">
        <v>2</v>
      </c>
      <c r="G89" s="17" t="s">
        <v>118</v>
      </c>
      <c r="H89" s="18">
        <v>8</v>
      </c>
      <c r="I89" s="19"/>
      <c r="J89" s="4" t="str">
        <f>"AZ" &amp; TEXT(E89, "000")</f>
        <v>AZ062</v>
      </c>
      <c r="K89" s="6">
        <f>IFERROR(VLOOKUP(J89,'Inadimplencia - FEV 2025'!$A$5:$E$85,4,0),"0")</f>
        <v>617.79999999999995</v>
      </c>
      <c r="L89" s="6" t="str">
        <f>IFERROR(VLOOKUP(J89,'Inadimplencia - Out 2025'!$A$5:$E$85,4,0),"0")</f>
        <v>0</v>
      </c>
      <c r="M89" s="31">
        <f t="shared" si="2"/>
        <v>-617.79999999999995</v>
      </c>
      <c r="N89" s="39" t="s">
        <v>1583</v>
      </c>
    </row>
    <row r="90" spans="1:14" x14ac:dyDescent="0.25">
      <c r="A90" s="37"/>
      <c r="B90" s="16" t="s">
        <v>228</v>
      </c>
      <c r="C90" s="21" t="s">
        <v>658</v>
      </c>
      <c r="D90" s="21" t="s">
        <v>654</v>
      </c>
      <c r="E90" s="22">
        <v>3</v>
      </c>
      <c r="F90" s="22">
        <v>2</v>
      </c>
      <c r="G90" s="21" t="s">
        <v>118</v>
      </c>
      <c r="H90" s="22">
        <v>8</v>
      </c>
      <c r="I90" s="19"/>
      <c r="J90" s="4" t="str">
        <f>"JA" &amp; TEXT(E90, "000")</f>
        <v>JA003</v>
      </c>
      <c r="K90" s="6">
        <f>IFERROR(VLOOKUP(J90,'Inadimplencia - FEV 2025'!$A$5:$E$85,4,0),"0")</f>
        <v>562.49</v>
      </c>
      <c r="L90" s="6" t="str">
        <f>IFERROR(VLOOKUP(J90,'Inadimplencia - Out 2025'!$A$5:$E$85,4,0),"0")</f>
        <v>0</v>
      </c>
      <c r="M90" s="31">
        <f t="shared" si="2"/>
        <v>-562.49</v>
      </c>
      <c r="N90" s="39" t="s">
        <v>1583</v>
      </c>
    </row>
    <row r="91" spans="1:14" x14ac:dyDescent="0.25">
      <c r="A91" s="37"/>
      <c r="B91" s="16" t="s">
        <v>234</v>
      </c>
      <c r="C91" s="17" t="s">
        <v>185</v>
      </c>
      <c r="D91" s="17" t="s">
        <v>117</v>
      </c>
      <c r="E91" s="18">
        <v>38</v>
      </c>
      <c r="F91" s="18">
        <v>2</v>
      </c>
      <c r="G91" s="17" t="s">
        <v>118</v>
      </c>
      <c r="H91" s="18">
        <v>8</v>
      </c>
      <c r="I91" s="19"/>
      <c r="J91" s="4" t="str">
        <f>"AZ" &amp; TEXT(E91, "000")</f>
        <v>AZ038</v>
      </c>
      <c r="K91" s="6">
        <f>IFERROR(VLOOKUP(J91,'Inadimplencia - FEV 2025'!$A$5:$E$85,4,0),"0")</f>
        <v>554.87</v>
      </c>
      <c r="L91" s="6" t="str">
        <f>IFERROR(VLOOKUP(J91,'Inadimplencia - Out 2025'!$A$5:$E$85,4,0),"0")</f>
        <v>0</v>
      </c>
      <c r="M91" s="31">
        <f t="shared" si="2"/>
        <v>-554.87</v>
      </c>
      <c r="N91" s="39" t="s">
        <v>1583</v>
      </c>
    </row>
    <row r="92" spans="1:14" x14ac:dyDescent="0.25">
      <c r="A92" s="37"/>
      <c r="B92" s="20" t="s">
        <v>236</v>
      </c>
      <c r="C92" s="17" t="s">
        <v>997</v>
      </c>
      <c r="D92" s="17" t="s">
        <v>951</v>
      </c>
      <c r="E92" s="18">
        <v>25</v>
      </c>
      <c r="F92" s="18">
        <v>2</v>
      </c>
      <c r="G92" s="17" t="s">
        <v>118</v>
      </c>
      <c r="H92" s="18">
        <v>8</v>
      </c>
      <c r="I92" s="19"/>
      <c r="J92" s="4" t="str">
        <f>"PI" &amp; TEXT(E92, "000")</f>
        <v>PI025</v>
      </c>
      <c r="K92" s="6">
        <f>IFERROR(VLOOKUP(J92,'Inadimplencia - FEV 2025'!$A$5:$E$85,4,0),"0")</f>
        <v>554.87</v>
      </c>
      <c r="L92" s="6" t="str">
        <f>IFERROR(VLOOKUP(J92,'Inadimplencia - Out 2025'!$A$5:$E$85,4,0),"0")</f>
        <v>0</v>
      </c>
      <c r="M92" s="31">
        <f t="shared" si="2"/>
        <v>-554.87</v>
      </c>
      <c r="N92" s="39" t="s">
        <v>1583</v>
      </c>
    </row>
    <row r="93" spans="1:14" x14ac:dyDescent="0.25">
      <c r="A93" s="37"/>
      <c r="B93" s="20" t="s">
        <v>250</v>
      </c>
      <c r="C93" s="21" t="s">
        <v>243</v>
      </c>
      <c r="D93" s="21" t="s">
        <v>117</v>
      </c>
      <c r="E93" s="22">
        <v>68</v>
      </c>
      <c r="F93" s="22">
        <v>2</v>
      </c>
      <c r="G93" s="21" t="s">
        <v>118</v>
      </c>
      <c r="H93" s="22">
        <v>8</v>
      </c>
      <c r="I93" s="19"/>
      <c r="J93" s="4" t="str">
        <f>"AZ" &amp; TEXT(E93, "000")</f>
        <v>AZ068</v>
      </c>
      <c r="K93" s="6">
        <f>IFERROR(VLOOKUP(J93,'Inadimplencia - FEV 2025'!$A$5:$E$85,4,0),"0")</f>
        <v>544.70000000000005</v>
      </c>
      <c r="L93" s="6" t="str">
        <f>IFERROR(VLOOKUP(J93,'Inadimplencia - Out 2025'!$A$5:$E$85,4,0),"0")</f>
        <v>0</v>
      </c>
      <c r="M93" s="31">
        <f t="shared" si="2"/>
        <v>-544.70000000000005</v>
      </c>
      <c r="N93" s="39" t="s">
        <v>1583</v>
      </c>
    </row>
    <row r="94" spans="1:14" x14ac:dyDescent="0.25">
      <c r="A94" s="37"/>
      <c r="B94" s="20" t="s">
        <v>252</v>
      </c>
      <c r="C94" s="21" t="s">
        <v>354</v>
      </c>
      <c r="D94" s="21" t="s">
        <v>310</v>
      </c>
      <c r="E94" s="22">
        <v>28</v>
      </c>
      <c r="F94" s="22">
        <v>2</v>
      </c>
      <c r="G94" s="21" t="s">
        <v>118</v>
      </c>
      <c r="H94" s="22">
        <v>8</v>
      </c>
      <c r="I94" s="19"/>
      <c r="J94" s="4" t="str">
        <f>"BO" &amp; TEXT(E94, "000")</f>
        <v>BO028</v>
      </c>
      <c r="K94" s="6">
        <f>IFERROR(VLOOKUP(J94,'Inadimplencia - FEV 2025'!$A$5:$E$85,4,0),"0")</f>
        <v>544.70000000000005</v>
      </c>
      <c r="L94" s="6" t="str">
        <f>IFERROR(VLOOKUP(J94,'Inadimplencia - Out 2025'!$A$5:$E$85,4,0),"0")</f>
        <v>0</v>
      </c>
      <c r="M94" s="31">
        <f t="shared" si="2"/>
        <v>-544.70000000000005</v>
      </c>
      <c r="N94" s="39" t="s">
        <v>1583</v>
      </c>
    </row>
    <row r="95" spans="1:14" x14ac:dyDescent="0.25">
      <c r="A95" s="37"/>
      <c r="B95" s="20" t="s">
        <v>254</v>
      </c>
      <c r="C95" s="17" t="s">
        <v>356</v>
      </c>
      <c r="D95" s="17" t="s">
        <v>310</v>
      </c>
      <c r="E95" s="18">
        <v>31</v>
      </c>
      <c r="F95" s="18">
        <v>2</v>
      </c>
      <c r="G95" s="17" t="s">
        <v>118</v>
      </c>
      <c r="H95" s="18">
        <v>8</v>
      </c>
      <c r="I95" s="19"/>
      <c r="J95" s="4" t="str">
        <f>"BO" &amp; TEXT(E95, "000")</f>
        <v>BO031</v>
      </c>
      <c r="K95" s="6">
        <f>IFERROR(VLOOKUP(J95,'Inadimplencia - FEV 2025'!$A$5:$E$85,4,0),"0")</f>
        <v>544.70000000000005</v>
      </c>
      <c r="L95" s="6" t="str">
        <f>IFERROR(VLOOKUP(J95,'Inadimplencia - Out 2025'!$A$5:$E$85,4,0),"0")</f>
        <v>0</v>
      </c>
      <c r="M95" s="31">
        <f t="shared" si="2"/>
        <v>-544.70000000000005</v>
      </c>
      <c r="N95" s="39" t="s">
        <v>1583</v>
      </c>
    </row>
    <row r="96" spans="1:14" x14ac:dyDescent="0.25">
      <c r="A96" s="37"/>
      <c r="B96" s="20" t="s">
        <v>256</v>
      </c>
      <c r="C96" s="17" t="s">
        <v>360</v>
      </c>
      <c r="D96" s="17" t="s">
        <v>310</v>
      </c>
      <c r="E96" s="18">
        <v>33</v>
      </c>
      <c r="F96" s="18">
        <v>2</v>
      </c>
      <c r="G96" s="17" t="s">
        <v>118</v>
      </c>
      <c r="H96" s="18">
        <v>8</v>
      </c>
      <c r="I96" s="19"/>
      <c r="J96" s="4" t="str">
        <f>"BO" &amp; TEXT(E96, "000")</f>
        <v>BO033</v>
      </c>
      <c r="K96" s="6">
        <f>IFERROR(VLOOKUP(J96,'Inadimplencia - FEV 2025'!$A$5:$E$85,4,0),"0")</f>
        <v>544.70000000000005</v>
      </c>
      <c r="L96" s="6" t="str">
        <f>IFERROR(VLOOKUP(J96,'Inadimplencia - Out 2025'!$A$5:$E$85,4,0),"0")</f>
        <v>0</v>
      </c>
      <c r="M96" s="31">
        <f t="shared" si="2"/>
        <v>-544.70000000000005</v>
      </c>
      <c r="N96" s="39" t="s">
        <v>1583</v>
      </c>
    </row>
    <row r="97" spans="1:14" x14ac:dyDescent="0.25">
      <c r="A97" s="37"/>
      <c r="B97" s="20" t="s">
        <v>258</v>
      </c>
      <c r="C97" s="17" t="s">
        <v>494</v>
      </c>
      <c r="D97" s="17" t="s">
        <v>310</v>
      </c>
      <c r="E97" s="18">
        <v>105</v>
      </c>
      <c r="F97" s="18">
        <v>2</v>
      </c>
      <c r="G97" s="17" t="s">
        <v>118</v>
      </c>
      <c r="H97" s="18">
        <v>8</v>
      </c>
      <c r="I97" s="19"/>
      <c r="J97" s="4" t="str">
        <f>"BO" &amp; TEXT(E97, "000")</f>
        <v>BO105</v>
      </c>
      <c r="K97" s="6">
        <f>IFERROR(VLOOKUP(J97,'Inadimplencia - FEV 2025'!$A$5:$E$85,4,0),"0")</f>
        <v>544.70000000000005</v>
      </c>
      <c r="L97" s="6" t="str">
        <f>IFERROR(VLOOKUP(J97,'Inadimplencia - Out 2025'!$A$5:$E$85,4,0),"0")</f>
        <v>0</v>
      </c>
      <c r="M97" s="31">
        <f t="shared" si="2"/>
        <v>-544.70000000000005</v>
      </c>
      <c r="N97" s="39" t="s">
        <v>1583</v>
      </c>
    </row>
    <row r="98" spans="1:14" x14ac:dyDescent="0.25">
      <c r="A98" s="37"/>
      <c r="B98" s="20" t="s">
        <v>260</v>
      </c>
      <c r="C98" s="21" t="s">
        <v>504</v>
      </c>
      <c r="D98" s="21" t="s">
        <v>310</v>
      </c>
      <c r="E98" s="22">
        <v>111</v>
      </c>
      <c r="F98" s="22">
        <v>2</v>
      </c>
      <c r="G98" s="21" t="s">
        <v>118</v>
      </c>
      <c r="H98" s="22">
        <v>8</v>
      </c>
      <c r="I98" s="19"/>
      <c r="J98" s="4" t="str">
        <f>"BO" &amp; TEXT(E98, "000")</f>
        <v>BO111</v>
      </c>
      <c r="K98" s="6">
        <f>IFERROR(VLOOKUP(J98,'Inadimplencia - FEV 2025'!$A$5:$E$85,4,0),"0")</f>
        <v>544.70000000000005</v>
      </c>
      <c r="L98" s="6" t="str">
        <f>IFERROR(VLOOKUP(J98,'Inadimplencia - Out 2025'!$A$5:$E$85,4,0),"0")</f>
        <v>0</v>
      </c>
      <c r="M98" s="31">
        <f t="shared" si="2"/>
        <v>-544.70000000000005</v>
      </c>
      <c r="N98" s="39" t="s">
        <v>1583</v>
      </c>
    </row>
    <row r="99" spans="1:14" x14ac:dyDescent="0.25">
      <c r="A99" s="37"/>
      <c r="B99" s="20" t="s">
        <v>262</v>
      </c>
      <c r="C99" s="17" t="s">
        <v>645</v>
      </c>
      <c r="D99" s="17" t="s">
        <v>513</v>
      </c>
      <c r="E99" s="18">
        <v>75</v>
      </c>
      <c r="F99" s="18">
        <v>2</v>
      </c>
      <c r="G99" s="17" t="s">
        <v>118</v>
      </c>
      <c r="H99" s="18">
        <v>8</v>
      </c>
      <c r="I99" s="19"/>
      <c r="J99" s="4" t="str">
        <f>"GA" &amp; TEXT(E99, "000")</f>
        <v>GA075</v>
      </c>
      <c r="K99" s="6">
        <f>IFERROR(VLOOKUP(J99,'Inadimplencia - FEV 2025'!$A$5:$E$85,4,0),"0")</f>
        <v>544.70000000000005</v>
      </c>
      <c r="L99" s="6" t="str">
        <f>IFERROR(VLOOKUP(J99,'Inadimplencia - Out 2025'!$A$5:$E$85,4,0),"0")</f>
        <v>0</v>
      </c>
      <c r="M99" s="31">
        <f t="shared" si="2"/>
        <v>-544.70000000000005</v>
      </c>
      <c r="N99" s="39" t="s">
        <v>1583</v>
      </c>
    </row>
    <row r="100" spans="1:14" x14ac:dyDescent="0.25">
      <c r="A100" s="37"/>
      <c r="B100" s="16" t="s">
        <v>264</v>
      </c>
      <c r="C100" s="27" t="s">
        <v>360</v>
      </c>
      <c r="D100" s="27" t="s">
        <v>767</v>
      </c>
      <c r="E100" s="28">
        <v>85</v>
      </c>
      <c r="F100" s="28">
        <v>2</v>
      </c>
      <c r="G100" s="27" t="s">
        <v>133</v>
      </c>
      <c r="H100" s="28">
        <v>8</v>
      </c>
      <c r="I100" s="19"/>
      <c r="J100" s="4" t="str">
        <f>"OR" &amp; TEXT(E100, "000")</f>
        <v>OR085</v>
      </c>
      <c r="K100" s="6">
        <f>IFERROR(VLOOKUP(J100,'Inadimplencia - FEV 2025'!$A$5:$E$85,4,0),"0")</f>
        <v>544.70000000000005</v>
      </c>
      <c r="L100" s="6" t="str">
        <f>IFERROR(VLOOKUP(J100,'Inadimplencia - Out 2025'!$A$5:$E$85,4,0),"0")</f>
        <v>0</v>
      </c>
      <c r="M100" s="31">
        <f t="shared" si="2"/>
        <v>-544.70000000000005</v>
      </c>
      <c r="N100" s="39" t="s">
        <v>1583</v>
      </c>
    </row>
    <row r="101" spans="1:14" x14ac:dyDescent="0.25">
      <c r="A101" s="37"/>
      <c r="B101" s="16" t="s">
        <v>266</v>
      </c>
      <c r="C101" s="21" t="s">
        <v>1089</v>
      </c>
      <c r="D101" s="21" t="s">
        <v>951</v>
      </c>
      <c r="E101" s="22">
        <v>74</v>
      </c>
      <c r="F101" s="22">
        <v>2</v>
      </c>
      <c r="G101" s="21" t="s">
        <v>118</v>
      </c>
      <c r="H101" s="22">
        <v>8</v>
      </c>
      <c r="I101" s="19"/>
      <c r="J101" s="4" t="str">
        <f>"PI" &amp; TEXT(E101, "000")</f>
        <v>PI074</v>
      </c>
      <c r="K101" s="6">
        <f>IFERROR(VLOOKUP(J101,'Inadimplencia - FEV 2025'!$A$5:$E$85,4,0),"0")</f>
        <v>544.70000000000005</v>
      </c>
      <c r="L101" s="6" t="str">
        <f>IFERROR(VLOOKUP(J101,'Inadimplencia - Out 2025'!$A$5:$E$85,4,0),"0")</f>
        <v>0</v>
      </c>
      <c r="M101" s="31">
        <f t="shared" si="2"/>
        <v>-544.70000000000005</v>
      </c>
      <c r="N101" s="39" t="s">
        <v>1583</v>
      </c>
    </row>
    <row r="102" spans="1:14" x14ac:dyDescent="0.25">
      <c r="A102" s="38"/>
      <c r="B102" s="20" t="s">
        <v>302</v>
      </c>
      <c r="C102" s="17" t="s">
        <v>122</v>
      </c>
      <c r="D102" s="17" t="s">
        <v>117</v>
      </c>
      <c r="E102" s="18">
        <v>3</v>
      </c>
      <c r="F102" s="18">
        <v>2</v>
      </c>
      <c r="G102" s="17" t="s">
        <v>118</v>
      </c>
      <c r="H102" s="18">
        <v>8</v>
      </c>
      <c r="I102" s="19"/>
      <c r="J102" s="4" t="str">
        <f t="shared" ref="J102:J133" si="3">"AZ" &amp; TEXT(E102, "000")</f>
        <v>AZ003</v>
      </c>
      <c r="K102" s="6" t="str">
        <f>IFERROR(VLOOKUP(J102,'Inadimplencia - FEV 2025'!$A$5:$E$85,4,0),"0")</f>
        <v>0</v>
      </c>
      <c r="L102" s="6" t="str">
        <f>IFERROR(VLOOKUP(J102,'Inadimplencia - Out 2025'!$A$5:$E$85,4,0),"0")</f>
        <v>0</v>
      </c>
      <c r="M102" s="31">
        <f t="shared" si="2"/>
        <v>0</v>
      </c>
      <c r="N102" s="5"/>
    </row>
    <row r="103" spans="1:14" ht="25.5" x14ac:dyDescent="0.25">
      <c r="A103" s="38"/>
      <c r="B103" s="20" t="s">
        <v>304</v>
      </c>
      <c r="C103" s="17" t="s">
        <v>124</v>
      </c>
      <c r="D103" s="17" t="s">
        <v>117</v>
      </c>
      <c r="E103" s="18">
        <v>4</v>
      </c>
      <c r="F103" s="18">
        <v>2</v>
      </c>
      <c r="G103" s="17" t="s">
        <v>118</v>
      </c>
      <c r="H103" s="18">
        <v>8</v>
      </c>
      <c r="I103" s="19"/>
      <c r="J103" s="4" t="str">
        <f t="shared" si="3"/>
        <v>AZ004</v>
      </c>
      <c r="K103" s="6" t="str">
        <f>IFERROR(VLOOKUP(J103,'Inadimplencia - FEV 2025'!$A$5:$E$85,4,0),"0")</f>
        <v>0</v>
      </c>
      <c r="L103" s="6" t="str">
        <f>IFERROR(VLOOKUP(J103,'Inadimplencia - Out 2025'!$A$5:$E$85,4,0),"0")</f>
        <v>0</v>
      </c>
      <c r="M103" s="31">
        <f t="shared" si="2"/>
        <v>0</v>
      </c>
      <c r="N103" s="5"/>
    </row>
    <row r="104" spans="1:14" x14ac:dyDescent="0.25">
      <c r="A104" s="38"/>
      <c r="B104" s="20" t="s">
        <v>306</v>
      </c>
      <c r="C104" s="17" t="s">
        <v>128</v>
      </c>
      <c r="D104" s="17" t="s">
        <v>117</v>
      </c>
      <c r="E104" s="18">
        <v>6</v>
      </c>
      <c r="F104" s="18">
        <v>2</v>
      </c>
      <c r="G104" s="17" t="s">
        <v>118</v>
      </c>
      <c r="H104" s="18">
        <v>8</v>
      </c>
      <c r="I104" s="19"/>
      <c r="J104" s="4" t="str">
        <f t="shared" si="3"/>
        <v>AZ006</v>
      </c>
      <c r="K104" s="6" t="str">
        <f>IFERROR(VLOOKUP(J104,'Inadimplencia - FEV 2025'!$A$5:$E$85,4,0),"0")</f>
        <v>0</v>
      </c>
      <c r="L104" s="6" t="str">
        <f>IFERROR(VLOOKUP(J104,'Inadimplencia - Out 2025'!$A$5:$E$85,4,0),"0")</f>
        <v>0</v>
      </c>
      <c r="M104" s="31">
        <f t="shared" si="2"/>
        <v>0</v>
      </c>
      <c r="N104" s="5"/>
    </row>
    <row r="105" spans="1:14" x14ac:dyDescent="0.25">
      <c r="A105" s="38"/>
      <c r="B105" s="20" t="s">
        <v>306</v>
      </c>
      <c r="C105" s="21" t="s">
        <v>137</v>
      </c>
      <c r="D105" s="21" t="s">
        <v>117</v>
      </c>
      <c r="E105" s="22">
        <v>11</v>
      </c>
      <c r="F105" s="22">
        <v>2</v>
      </c>
      <c r="G105" s="21" t="s">
        <v>118</v>
      </c>
      <c r="H105" s="22">
        <v>8</v>
      </c>
      <c r="I105" s="19"/>
      <c r="J105" s="4" t="str">
        <f t="shared" si="3"/>
        <v>AZ011</v>
      </c>
      <c r="K105" s="6" t="str">
        <f>IFERROR(VLOOKUP(J105,'Inadimplencia - FEV 2025'!$A$5:$E$85,4,0),"0")</f>
        <v>0</v>
      </c>
      <c r="L105" s="6" t="str">
        <f>IFERROR(VLOOKUP(J105,'Inadimplencia - Out 2025'!$A$5:$E$85,4,0),"0")</f>
        <v>0</v>
      </c>
      <c r="M105" s="31">
        <f t="shared" si="2"/>
        <v>0</v>
      </c>
      <c r="N105" s="5"/>
    </row>
    <row r="106" spans="1:14" x14ac:dyDescent="0.25">
      <c r="A106" s="38"/>
      <c r="B106" s="20" t="s">
        <v>306</v>
      </c>
      <c r="C106" s="17" t="s">
        <v>139</v>
      </c>
      <c r="D106" s="17" t="s">
        <v>117</v>
      </c>
      <c r="E106" s="18">
        <v>12</v>
      </c>
      <c r="F106" s="18">
        <v>2</v>
      </c>
      <c r="G106" s="17" t="s">
        <v>118</v>
      </c>
      <c r="H106" s="18">
        <v>8</v>
      </c>
      <c r="I106" s="19"/>
      <c r="J106" s="4" t="str">
        <f t="shared" si="3"/>
        <v>AZ012</v>
      </c>
      <c r="K106" s="6" t="str">
        <f>IFERROR(VLOOKUP(J106,'Inadimplencia - FEV 2025'!$A$5:$E$85,4,0),"0")</f>
        <v>0</v>
      </c>
      <c r="L106" s="6" t="str">
        <f>IFERROR(VLOOKUP(J106,'Inadimplencia - Out 2025'!$A$5:$E$85,4,0),"0")</f>
        <v>0</v>
      </c>
      <c r="M106" s="31">
        <f t="shared" si="2"/>
        <v>0</v>
      </c>
      <c r="N106" s="5"/>
    </row>
    <row r="107" spans="1:14" x14ac:dyDescent="0.25">
      <c r="A107" s="38"/>
      <c r="B107" s="16" t="s">
        <v>306</v>
      </c>
      <c r="C107" s="17" t="s">
        <v>141</v>
      </c>
      <c r="D107" s="17" t="s">
        <v>117</v>
      </c>
      <c r="E107" s="18">
        <v>13</v>
      </c>
      <c r="F107" s="18">
        <v>2</v>
      </c>
      <c r="G107" s="17" t="s">
        <v>118</v>
      </c>
      <c r="H107" s="18">
        <v>8</v>
      </c>
      <c r="I107" s="19"/>
      <c r="J107" s="4" t="str">
        <f t="shared" si="3"/>
        <v>AZ013</v>
      </c>
      <c r="K107" s="6" t="str">
        <f>IFERROR(VLOOKUP(J107,'Inadimplencia - FEV 2025'!$A$5:$E$85,4,0),"0")</f>
        <v>0</v>
      </c>
      <c r="L107" s="6" t="str">
        <f>IFERROR(VLOOKUP(J107,'Inadimplencia - Out 2025'!$A$5:$E$85,4,0),"0")</f>
        <v>0</v>
      </c>
      <c r="M107" s="31">
        <f t="shared" si="2"/>
        <v>0</v>
      </c>
      <c r="N107" s="5"/>
    </row>
    <row r="108" spans="1:14" x14ac:dyDescent="0.25">
      <c r="A108" s="38"/>
      <c r="B108" s="16" t="s">
        <v>306</v>
      </c>
      <c r="C108" s="21" t="s">
        <v>143</v>
      </c>
      <c r="D108" s="21" t="s">
        <v>117</v>
      </c>
      <c r="E108" s="22">
        <v>14</v>
      </c>
      <c r="F108" s="22">
        <v>2</v>
      </c>
      <c r="G108" s="21" t="s">
        <v>118</v>
      </c>
      <c r="H108" s="22">
        <v>8</v>
      </c>
      <c r="I108" s="19"/>
      <c r="J108" s="4" t="str">
        <f t="shared" si="3"/>
        <v>AZ014</v>
      </c>
      <c r="K108" s="6" t="str">
        <f>IFERROR(VLOOKUP(J108,'Inadimplencia - FEV 2025'!$A$5:$E$85,4,0),"0")</f>
        <v>0</v>
      </c>
      <c r="L108" s="6" t="str">
        <f>IFERROR(VLOOKUP(J108,'Inadimplencia - Out 2025'!$A$5:$E$85,4,0),"0")</f>
        <v>0</v>
      </c>
      <c r="M108" s="31">
        <f t="shared" si="2"/>
        <v>0</v>
      </c>
      <c r="N108" s="5"/>
    </row>
    <row r="109" spans="1:14" ht="25.5" x14ac:dyDescent="0.25">
      <c r="A109" s="38"/>
      <c r="B109" s="16" t="s">
        <v>306</v>
      </c>
      <c r="C109" s="17" t="s">
        <v>145</v>
      </c>
      <c r="D109" s="17" t="s">
        <v>117</v>
      </c>
      <c r="E109" s="18">
        <v>15</v>
      </c>
      <c r="F109" s="18">
        <v>2</v>
      </c>
      <c r="G109" s="17" t="s">
        <v>118</v>
      </c>
      <c r="H109" s="18">
        <v>8</v>
      </c>
      <c r="I109" s="19"/>
      <c r="J109" s="4" t="str">
        <f t="shared" si="3"/>
        <v>AZ015</v>
      </c>
      <c r="K109" s="6" t="str">
        <f>IFERROR(VLOOKUP(J109,'Inadimplencia - FEV 2025'!$A$5:$E$85,4,0),"0")</f>
        <v>0</v>
      </c>
      <c r="L109" s="6" t="str">
        <f>IFERROR(VLOOKUP(J109,'Inadimplencia - Out 2025'!$A$5:$E$85,4,0),"0")</f>
        <v>0</v>
      </c>
      <c r="M109" s="31">
        <f t="shared" si="2"/>
        <v>0</v>
      </c>
      <c r="N109" s="5"/>
    </row>
    <row r="110" spans="1:14" x14ac:dyDescent="0.25">
      <c r="A110" s="38"/>
      <c r="B110" s="20" t="s">
        <v>306</v>
      </c>
      <c r="C110" s="17" t="s">
        <v>149</v>
      </c>
      <c r="D110" s="17" t="s">
        <v>117</v>
      </c>
      <c r="E110" s="18">
        <v>17</v>
      </c>
      <c r="F110" s="18">
        <v>2</v>
      </c>
      <c r="G110" s="17" t="s">
        <v>118</v>
      </c>
      <c r="H110" s="18">
        <v>8</v>
      </c>
      <c r="I110" s="19"/>
      <c r="J110" s="4" t="str">
        <f t="shared" si="3"/>
        <v>AZ017</v>
      </c>
      <c r="K110" s="6" t="str">
        <f>IFERROR(VLOOKUP(J110,'Inadimplencia - FEV 2025'!$A$5:$E$85,4,0),"0")</f>
        <v>0</v>
      </c>
      <c r="L110" s="6" t="str">
        <f>IFERROR(VLOOKUP(J110,'Inadimplencia - Out 2025'!$A$5:$E$85,4,0),"0")</f>
        <v>0</v>
      </c>
      <c r="M110" s="31">
        <f t="shared" si="2"/>
        <v>0</v>
      </c>
      <c r="N110" s="5"/>
    </row>
    <row r="111" spans="1:14" x14ac:dyDescent="0.25">
      <c r="A111" s="38"/>
      <c r="B111" s="20" t="s">
        <v>306</v>
      </c>
      <c r="C111" s="17" t="s">
        <v>151</v>
      </c>
      <c r="D111" s="17" t="s">
        <v>117</v>
      </c>
      <c r="E111" s="18">
        <v>18</v>
      </c>
      <c r="F111" s="18">
        <v>2</v>
      </c>
      <c r="G111" s="17" t="s">
        <v>118</v>
      </c>
      <c r="H111" s="18">
        <v>8</v>
      </c>
      <c r="I111" s="19"/>
      <c r="J111" s="4" t="str">
        <f t="shared" si="3"/>
        <v>AZ018</v>
      </c>
      <c r="K111" s="6" t="str">
        <f>IFERROR(VLOOKUP(J111,'Inadimplencia - FEV 2025'!$A$5:$E$85,4,0),"0")</f>
        <v>0</v>
      </c>
      <c r="L111" s="6" t="str">
        <f>IFERROR(VLOOKUP(J111,'Inadimplencia - Out 2025'!$A$5:$E$85,4,0),"0")</f>
        <v>0</v>
      </c>
      <c r="M111" s="31">
        <f t="shared" si="2"/>
        <v>0</v>
      </c>
      <c r="N111" s="5"/>
    </row>
    <row r="112" spans="1:14" x14ac:dyDescent="0.25">
      <c r="A112" s="38"/>
      <c r="B112" s="20" t="s">
        <v>306</v>
      </c>
      <c r="C112" s="17" t="s">
        <v>153</v>
      </c>
      <c r="D112" s="17" t="s">
        <v>117</v>
      </c>
      <c r="E112" s="18">
        <v>19</v>
      </c>
      <c r="F112" s="18">
        <v>2</v>
      </c>
      <c r="G112" s="17" t="s">
        <v>118</v>
      </c>
      <c r="H112" s="18">
        <v>8</v>
      </c>
      <c r="I112" s="19"/>
      <c r="J112" s="4" t="str">
        <f t="shared" si="3"/>
        <v>AZ019</v>
      </c>
      <c r="K112" s="6" t="str">
        <f>IFERROR(VLOOKUP(J112,'Inadimplencia - FEV 2025'!$A$5:$E$85,4,0),"0")</f>
        <v>0</v>
      </c>
      <c r="L112" s="6" t="str">
        <f>IFERROR(VLOOKUP(J112,'Inadimplencia - Out 2025'!$A$5:$E$85,4,0),"0")</f>
        <v>0</v>
      </c>
      <c r="M112" s="31">
        <f t="shared" si="2"/>
        <v>0</v>
      </c>
      <c r="N112" s="5"/>
    </row>
    <row r="113" spans="1:14" x14ac:dyDescent="0.25">
      <c r="A113" s="38"/>
      <c r="B113" s="16" t="s">
        <v>306</v>
      </c>
      <c r="C113" s="17" t="s">
        <v>155</v>
      </c>
      <c r="D113" s="17" t="s">
        <v>117</v>
      </c>
      <c r="E113" s="18">
        <v>20</v>
      </c>
      <c r="F113" s="18">
        <v>2</v>
      </c>
      <c r="G113" s="17" t="s">
        <v>118</v>
      </c>
      <c r="H113" s="18">
        <v>8</v>
      </c>
      <c r="I113" s="19"/>
      <c r="J113" s="4" t="str">
        <f t="shared" si="3"/>
        <v>AZ020</v>
      </c>
      <c r="K113" s="6" t="str">
        <f>IFERROR(VLOOKUP(J113,'Inadimplencia - FEV 2025'!$A$5:$E$85,4,0),"0")</f>
        <v>0</v>
      </c>
      <c r="L113" s="6" t="str">
        <f>IFERROR(VLOOKUP(J113,'Inadimplencia - Out 2025'!$A$5:$E$85,4,0),"0")</f>
        <v>0</v>
      </c>
      <c r="M113" s="31">
        <f t="shared" si="2"/>
        <v>0</v>
      </c>
      <c r="N113" s="5"/>
    </row>
    <row r="114" spans="1:14" x14ac:dyDescent="0.25">
      <c r="A114" s="38"/>
      <c r="B114" s="16" t="s">
        <v>306</v>
      </c>
      <c r="C114" s="24" t="s">
        <v>157</v>
      </c>
      <c r="D114" s="24" t="s">
        <v>117</v>
      </c>
      <c r="E114" s="25">
        <v>21</v>
      </c>
      <c r="F114" s="25">
        <v>2</v>
      </c>
      <c r="G114" s="24" t="s">
        <v>118</v>
      </c>
      <c r="H114" s="25">
        <v>8</v>
      </c>
      <c r="I114" s="19"/>
      <c r="J114" s="4" t="str">
        <f t="shared" si="3"/>
        <v>AZ021</v>
      </c>
      <c r="K114" s="6" t="str">
        <f>IFERROR(VLOOKUP(J114,'Inadimplencia - FEV 2025'!$A$5:$E$85,4,0),"0")</f>
        <v>0</v>
      </c>
      <c r="L114" s="6" t="str">
        <f>IFERROR(VLOOKUP(J114,'Inadimplencia - Out 2025'!$A$5:$E$85,4,0),"0")</f>
        <v>0</v>
      </c>
      <c r="M114" s="31">
        <f t="shared" si="2"/>
        <v>0</v>
      </c>
      <c r="N114" s="5"/>
    </row>
    <row r="115" spans="1:14" x14ac:dyDescent="0.25">
      <c r="A115" s="38"/>
      <c r="B115" s="16" t="s">
        <v>306</v>
      </c>
      <c r="C115" s="21" t="s">
        <v>159</v>
      </c>
      <c r="D115" s="21" t="s">
        <v>117</v>
      </c>
      <c r="E115" s="22">
        <v>22</v>
      </c>
      <c r="F115" s="22">
        <v>2</v>
      </c>
      <c r="G115" s="21" t="s">
        <v>118</v>
      </c>
      <c r="H115" s="22">
        <v>8</v>
      </c>
      <c r="I115" s="19"/>
      <c r="J115" s="4" t="str">
        <f t="shared" si="3"/>
        <v>AZ022</v>
      </c>
      <c r="K115" s="6" t="str">
        <f>IFERROR(VLOOKUP(J115,'Inadimplencia - FEV 2025'!$A$5:$E$85,4,0),"0")</f>
        <v>0</v>
      </c>
      <c r="L115" s="6" t="str">
        <f>IFERROR(VLOOKUP(J115,'Inadimplencia - Out 2025'!$A$5:$E$85,4,0),"0")</f>
        <v>0</v>
      </c>
      <c r="M115" s="31">
        <f t="shared" si="2"/>
        <v>0</v>
      </c>
      <c r="N115" s="5"/>
    </row>
    <row r="116" spans="1:14" x14ac:dyDescent="0.25">
      <c r="A116" s="38"/>
      <c r="B116" s="16" t="s">
        <v>306</v>
      </c>
      <c r="C116" s="17" t="s">
        <v>161</v>
      </c>
      <c r="D116" s="17" t="s">
        <v>117</v>
      </c>
      <c r="E116" s="18">
        <v>24</v>
      </c>
      <c r="F116" s="18">
        <v>2</v>
      </c>
      <c r="G116" s="17" t="s">
        <v>118</v>
      </c>
      <c r="H116" s="18">
        <v>8</v>
      </c>
      <c r="I116" s="19"/>
      <c r="J116" s="4" t="str">
        <f t="shared" si="3"/>
        <v>AZ024</v>
      </c>
      <c r="K116" s="6" t="str">
        <f>IFERROR(VLOOKUP(J116,'Inadimplencia - FEV 2025'!$A$5:$E$85,4,0),"0")</f>
        <v>0</v>
      </c>
      <c r="L116" s="6" t="str">
        <f>IFERROR(VLOOKUP(J116,'Inadimplencia - Out 2025'!$A$5:$E$85,4,0),"0")</f>
        <v>0</v>
      </c>
      <c r="M116" s="31">
        <f t="shared" si="2"/>
        <v>0</v>
      </c>
      <c r="N116" s="5"/>
    </row>
    <row r="117" spans="1:14" x14ac:dyDescent="0.25">
      <c r="A117" s="38"/>
      <c r="B117" s="16"/>
      <c r="C117" s="21" t="s">
        <v>161</v>
      </c>
      <c r="D117" s="21" t="s">
        <v>117</v>
      </c>
      <c r="E117" s="22">
        <v>25</v>
      </c>
      <c r="F117" s="22">
        <v>2</v>
      </c>
      <c r="G117" s="21" t="s">
        <v>133</v>
      </c>
      <c r="H117" s="22">
        <v>8</v>
      </c>
      <c r="I117" s="19"/>
      <c r="J117" s="4" t="str">
        <f t="shared" si="3"/>
        <v>AZ025</v>
      </c>
      <c r="K117" s="6" t="str">
        <f>IFERROR(VLOOKUP(J117,'Inadimplencia - FEV 2025'!$A$5:$E$85,4,0),"0")</f>
        <v>0</v>
      </c>
      <c r="L117" s="6" t="str">
        <f>IFERROR(VLOOKUP(J117,'Inadimplencia - Out 2025'!$A$5:$E$85,4,0),"0")</f>
        <v>0</v>
      </c>
      <c r="M117" s="31">
        <f t="shared" si="2"/>
        <v>0</v>
      </c>
      <c r="N117" s="5"/>
    </row>
    <row r="118" spans="1:14" x14ac:dyDescent="0.25">
      <c r="A118" s="38"/>
      <c r="B118" s="20" t="s">
        <v>308</v>
      </c>
      <c r="C118" s="21" t="s">
        <v>165</v>
      </c>
      <c r="D118" s="21" t="s">
        <v>117</v>
      </c>
      <c r="E118" s="22">
        <v>27</v>
      </c>
      <c r="F118" s="22">
        <v>2</v>
      </c>
      <c r="G118" s="21" t="s">
        <v>118</v>
      </c>
      <c r="H118" s="22">
        <v>8</v>
      </c>
      <c r="I118" s="19"/>
      <c r="J118" s="4" t="str">
        <f t="shared" si="3"/>
        <v>AZ027</v>
      </c>
      <c r="K118" s="6" t="str">
        <f>IFERROR(VLOOKUP(J118,'Inadimplencia - FEV 2025'!$A$5:$E$85,4,0),"0")</f>
        <v>0</v>
      </c>
      <c r="L118" s="6" t="str">
        <f>IFERROR(VLOOKUP(J118,'Inadimplencia - Out 2025'!$A$5:$E$85,4,0),"0")</f>
        <v>0</v>
      </c>
      <c r="M118" s="31">
        <f t="shared" si="2"/>
        <v>0</v>
      </c>
      <c r="N118" s="5"/>
    </row>
    <row r="119" spans="1:14" x14ac:dyDescent="0.25">
      <c r="A119" s="38"/>
      <c r="B119" s="16" t="s">
        <v>311</v>
      </c>
      <c r="C119" s="21" t="s">
        <v>167</v>
      </c>
      <c r="D119" s="21" t="s">
        <v>117</v>
      </c>
      <c r="E119" s="22">
        <v>28</v>
      </c>
      <c r="F119" s="22">
        <v>2</v>
      </c>
      <c r="G119" s="21" t="s">
        <v>118</v>
      </c>
      <c r="H119" s="22">
        <v>8</v>
      </c>
      <c r="I119" s="19"/>
      <c r="J119" s="4" t="str">
        <f t="shared" si="3"/>
        <v>AZ028</v>
      </c>
      <c r="K119" s="6" t="str">
        <f>IFERROR(VLOOKUP(J119,'Inadimplencia - FEV 2025'!$A$5:$E$85,4,0),"0")</f>
        <v>0</v>
      </c>
      <c r="L119" s="6" t="str">
        <f>IFERROR(VLOOKUP(J119,'Inadimplencia - Out 2025'!$A$5:$E$85,4,0),"0")</f>
        <v>0</v>
      </c>
      <c r="M119" s="31">
        <f t="shared" si="2"/>
        <v>0</v>
      </c>
      <c r="N119" s="5"/>
    </row>
    <row r="120" spans="1:14" x14ac:dyDescent="0.25">
      <c r="A120" s="38"/>
      <c r="B120" s="20" t="s">
        <v>313</v>
      </c>
      <c r="C120" s="21" t="s">
        <v>169</v>
      </c>
      <c r="D120" s="21" t="s">
        <v>117</v>
      </c>
      <c r="E120" s="22">
        <v>29</v>
      </c>
      <c r="F120" s="22">
        <v>2</v>
      </c>
      <c r="G120" s="21" t="s">
        <v>118</v>
      </c>
      <c r="H120" s="22">
        <v>8</v>
      </c>
      <c r="I120" s="19"/>
      <c r="J120" s="4" t="str">
        <f t="shared" si="3"/>
        <v>AZ029</v>
      </c>
      <c r="K120" s="6" t="str">
        <f>IFERROR(VLOOKUP(J120,'Inadimplencia - FEV 2025'!$A$5:$E$85,4,0),"0")</f>
        <v>0</v>
      </c>
      <c r="L120" s="6" t="str">
        <f>IFERROR(VLOOKUP(J120,'Inadimplencia - Out 2025'!$A$5:$E$85,4,0),"0")</f>
        <v>0</v>
      </c>
      <c r="M120" s="31">
        <f t="shared" si="2"/>
        <v>0</v>
      </c>
      <c r="N120" s="5"/>
    </row>
    <row r="121" spans="1:14" ht="25.5" x14ac:dyDescent="0.25">
      <c r="A121" s="38"/>
      <c r="B121" s="20" t="s">
        <v>315</v>
      </c>
      <c r="C121" s="17" t="s">
        <v>173</v>
      </c>
      <c r="D121" s="17" t="s">
        <v>117</v>
      </c>
      <c r="E121" s="18">
        <v>31</v>
      </c>
      <c r="F121" s="18">
        <v>2</v>
      </c>
      <c r="G121" s="17" t="s">
        <v>118</v>
      </c>
      <c r="H121" s="18">
        <v>8</v>
      </c>
      <c r="I121" s="19"/>
      <c r="J121" s="4" t="str">
        <f t="shared" si="3"/>
        <v>AZ031</v>
      </c>
      <c r="K121" s="6" t="str">
        <f>IFERROR(VLOOKUP(J121,'Inadimplencia - FEV 2025'!$A$5:$E$85,4,0),"0")</f>
        <v>0</v>
      </c>
      <c r="L121" s="6" t="str">
        <f>IFERROR(VLOOKUP(J121,'Inadimplencia - Out 2025'!$A$5:$E$85,4,0),"0")</f>
        <v>0</v>
      </c>
      <c r="M121" s="31">
        <f t="shared" si="2"/>
        <v>0</v>
      </c>
      <c r="N121" s="5"/>
    </row>
    <row r="122" spans="1:14" ht="25.5" x14ac:dyDescent="0.25">
      <c r="A122" s="38"/>
      <c r="B122" s="16" t="s">
        <v>317</v>
      </c>
      <c r="C122" s="21" t="s">
        <v>173</v>
      </c>
      <c r="D122" s="21" t="s">
        <v>117</v>
      </c>
      <c r="E122" s="22">
        <v>32</v>
      </c>
      <c r="F122" s="22">
        <v>2</v>
      </c>
      <c r="G122" s="21" t="s">
        <v>133</v>
      </c>
      <c r="H122" s="22">
        <v>4</v>
      </c>
      <c r="I122" s="19"/>
      <c r="J122" s="4" t="str">
        <f t="shared" si="3"/>
        <v>AZ032</v>
      </c>
      <c r="K122" s="6" t="str">
        <f>IFERROR(VLOOKUP(J122,'Inadimplencia - FEV 2025'!$A$5:$E$85,4,0),"0")</f>
        <v>0</v>
      </c>
      <c r="L122" s="6" t="str">
        <f>IFERROR(VLOOKUP(J122,'Inadimplencia - Out 2025'!$A$5:$E$85,4,0),"0")</f>
        <v>0</v>
      </c>
      <c r="M122" s="31">
        <f t="shared" si="2"/>
        <v>0</v>
      </c>
      <c r="N122" s="5"/>
    </row>
    <row r="123" spans="1:14" x14ac:dyDescent="0.25">
      <c r="A123" s="38"/>
      <c r="B123" s="16" t="s">
        <v>319</v>
      </c>
      <c r="C123" s="17" t="s">
        <v>175</v>
      </c>
      <c r="D123" s="17" t="s">
        <v>117</v>
      </c>
      <c r="E123" s="18">
        <v>33</v>
      </c>
      <c r="F123" s="18">
        <v>2</v>
      </c>
      <c r="G123" s="17" t="s">
        <v>118</v>
      </c>
      <c r="H123" s="18">
        <v>8</v>
      </c>
      <c r="I123" s="19"/>
      <c r="J123" s="4" t="str">
        <f t="shared" si="3"/>
        <v>AZ033</v>
      </c>
      <c r="K123" s="6" t="str">
        <f>IFERROR(VLOOKUP(J123,'Inadimplencia - FEV 2025'!$A$5:$E$85,4,0),"0")</f>
        <v>0</v>
      </c>
      <c r="L123" s="6" t="str">
        <f>IFERROR(VLOOKUP(J123,'Inadimplencia - Out 2025'!$A$5:$E$85,4,0),"0")</f>
        <v>0</v>
      </c>
      <c r="M123" s="31">
        <f t="shared" si="2"/>
        <v>0</v>
      </c>
      <c r="N123" s="5"/>
    </row>
    <row r="124" spans="1:14" ht="25.5" x14ac:dyDescent="0.25">
      <c r="A124" s="38"/>
      <c r="B124" s="16" t="s">
        <v>321</v>
      </c>
      <c r="C124" s="21" t="s">
        <v>177</v>
      </c>
      <c r="D124" s="21" t="s">
        <v>117</v>
      </c>
      <c r="E124" s="22">
        <v>34</v>
      </c>
      <c r="F124" s="22">
        <v>2</v>
      </c>
      <c r="G124" s="21" t="s">
        <v>118</v>
      </c>
      <c r="H124" s="22">
        <v>8</v>
      </c>
      <c r="I124" s="19"/>
      <c r="J124" s="4" t="str">
        <f t="shared" si="3"/>
        <v>AZ034</v>
      </c>
      <c r="K124" s="6" t="str">
        <f>IFERROR(VLOOKUP(J124,'Inadimplencia - FEV 2025'!$A$5:$E$85,4,0),"0")</f>
        <v>0</v>
      </c>
      <c r="L124" s="6" t="str">
        <f>IFERROR(VLOOKUP(J124,'Inadimplencia - Out 2025'!$A$5:$E$85,4,0),"0")</f>
        <v>0</v>
      </c>
      <c r="M124" s="31">
        <f t="shared" si="2"/>
        <v>0</v>
      </c>
      <c r="N124" s="5"/>
    </row>
    <row r="125" spans="1:14" x14ac:dyDescent="0.25">
      <c r="A125" s="38"/>
      <c r="B125" s="16" t="s">
        <v>323</v>
      </c>
      <c r="C125" s="17" t="s">
        <v>179</v>
      </c>
      <c r="D125" s="17" t="s">
        <v>117</v>
      </c>
      <c r="E125" s="18">
        <v>35</v>
      </c>
      <c r="F125" s="18">
        <v>2</v>
      </c>
      <c r="G125" s="17" t="s">
        <v>118</v>
      </c>
      <c r="H125" s="18">
        <v>8</v>
      </c>
      <c r="I125" s="19"/>
      <c r="J125" s="4" t="str">
        <f t="shared" si="3"/>
        <v>AZ035</v>
      </c>
      <c r="K125" s="6" t="str">
        <f>IFERROR(VLOOKUP(J125,'Inadimplencia - FEV 2025'!$A$5:$E$85,4,0),"0")</f>
        <v>0</v>
      </c>
      <c r="L125" s="6" t="str">
        <f>IFERROR(VLOOKUP(J125,'Inadimplencia - Out 2025'!$A$5:$E$85,4,0),"0")</f>
        <v>0</v>
      </c>
      <c r="M125" s="31">
        <f t="shared" si="2"/>
        <v>0</v>
      </c>
      <c r="N125" s="5"/>
    </row>
    <row r="126" spans="1:14" x14ac:dyDescent="0.25">
      <c r="A126" s="38"/>
      <c r="B126" s="20" t="s">
        <v>325</v>
      </c>
      <c r="C126" s="21" t="s">
        <v>181</v>
      </c>
      <c r="D126" s="21" t="s">
        <v>117</v>
      </c>
      <c r="E126" s="22">
        <v>36</v>
      </c>
      <c r="F126" s="22">
        <v>2</v>
      </c>
      <c r="G126" s="21" t="s">
        <v>118</v>
      </c>
      <c r="H126" s="22">
        <v>8</v>
      </c>
      <c r="I126" s="19"/>
      <c r="J126" s="4" t="str">
        <f t="shared" si="3"/>
        <v>AZ036</v>
      </c>
      <c r="K126" s="6" t="str">
        <f>IFERROR(VLOOKUP(J126,'Inadimplencia - FEV 2025'!$A$5:$E$85,4,0),"0")</f>
        <v>0</v>
      </c>
      <c r="L126" s="6" t="str">
        <f>IFERROR(VLOOKUP(J126,'Inadimplencia - Out 2025'!$A$5:$E$85,4,0),"0")</f>
        <v>0</v>
      </c>
      <c r="M126" s="31">
        <f t="shared" si="2"/>
        <v>0</v>
      </c>
      <c r="N126" s="5"/>
    </row>
    <row r="127" spans="1:14" x14ac:dyDescent="0.25">
      <c r="A127" s="38"/>
      <c r="B127" s="20" t="s">
        <v>327</v>
      </c>
      <c r="C127" s="21" t="s">
        <v>183</v>
      </c>
      <c r="D127" s="21" t="s">
        <v>117</v>
      </c>
      <c r="E127" s="22">
        <v>37</v>
      </c>
      <c r="F127" s="22">
        <v>2</v>
      </c>
      <c r="G127" s="21" t="s">
        <v>118</v>
      </c>
      <c r="H127" s="22">
        <v>8</v>
      </c>
      <c r="I127" s="19"/>
      <c r="J127" s="4" t="str">
        <f t="shared" si="3"/>
        <v>AZ037</v>
      </c>
      <c r="K127" s="6" t="str">
        <f>IFERROR(VLOOKUP(J127,'Inadimplencia - FEV 2025'!$A$5:$E$85,4,0),"0")</f>
        <v>0</v>
      </c>
      <c r="L127" s="6" t="str">
        <f>IFERROR(VLOOKUP(J127,'Inadimplencia - Out 2025'!$A$5:$E$85,4,0),"0")</f>
        <v>0</v>
      </c>
      <c r="M127" s="31">
        <f t="shared" si="2"/>
        <v>0</v>
      </c>
      <c r="N127" s="5"/>
    </row>
    <row r="128" spans="1:14" x14ac:dyDescent="0.25">
      <c r="A128" s="38"/>
      <c r="B128" s="16" t="s">
        <v>329</v>
      </c>
      <c r="C128" s="21" t="s">
        <v>187</v>
      </c>
      <c r="D128" s="21" t="s">
        <v>117</v>
      </c>
      <c r="E128" s="22">
        <v>40</v>
      </c>
      <c r="F128" s="22">
        <v>2</v>
      </c>
      <c r="G128" s="21" t="s">
        <v>118</v>
      </c>
      <c r="H128" s="22">
        <v>8</v>
      </c>
      <c r="I128" s="19"/>
      <c r="J128" s="4" t="str">
        <f t="shared" si="3"/>
        <v>AZ040</v>
      </c>
      <c r="K128" s="6" t="str">
        <f>IFERROR(VLOOKUP(J128,'Inadimplencia - FEV 2025'!$A$5:$E$85,4,0),"0")</f>
        <v>0</v>
      </c>
      <c r="L128" s="6" t="str">
        <f>IFERROR(VLOOKUP(J128,'Inadimplencia - Out 2025'!$A$5:$E$85,4,0),"0")</f>
        <v>0</v>
      </c>
      <c r="M128" s="31">
        <f t="shared" si="2"/>
        <v>0</v>
      </c>
      <c r="N128" s="5"/>
    </row>
    <row r="129" spans="1:14" x14ac:dyDescent="0.25">
      <c r="A129" s="38"/>
      <c r="B129" s="16" t="s">
        <v>331</v>
      </c>
      <c r="C129" s="17" t="s">
        <v>189</v>
      </c>
      <c r="D129" s="17" t="s">
        <v>117</v>
      </c>
      <c r="E129" s="18">
        <v>41</v>
      </c>
      <c r="F129" s="18">
        <v>2</v>
      </c>
      <c r="G129" s="17" t="s">
        <v>118</v>
      </c>
      <c r="H129" s="18">
        <v>8</v>
      </c>
      <c r="I129" s="19"/>
      <c r="J129" s="4" t="str">
        <f t="shared" si="3"/>
        <v>AZ041</v>
      </c>
      <c r="K129" s="6" t="str">
        <f>IFERROR(VLOOKUP(J129,'Inadimplencia - FEV 2025'!$A$5:$E$85,4,0),"0")</f>
        <v>0</v>
      </c>
      <c r="L129" s="6" t="str">
        <f>IFERROR(VLOOKUP(J129,'Inadimplencia - Out 2025'!$A$5:$E$85,4,0),"0")</f>
        <v>0</v>
      </c>
      <c r="M129" s="31">
        <f t="shared" si="2"/>
        <v>0</v>
      </c>
      <c r="N129" s="5"/>
    </row>
    <row r="130" spans="1:14" x14ac:dyDescent="0.25">
      <c r="A130" s="38"/>
      <c r="B130" s="16" t="s">
        <v>333</v>
      </c>
      <c r="C130" s="17" t="s">
        <v>191</v>
      </c>
      <c r="D130" s="17" t="s">
        <v>117</v>
      </c>
      <c r="E130" s="18">
        <v>42</v>
      </c>
      <c r="F130" s="18">
        <v>2</v>
      </c>
      <c r="G130" s="17" t="s">
        <v>118</v>
      </c>
      <c r="H130" s="18">
        <v>8</v>
      </c>
      <c r="I130" s="19"/>
      <c r="J130" s="4" t="str">
        <f t="shared" si="3"/>
        <v>AZ042</v>
      </c>
      <c r="K130" s="6" t="str">
        <f>IFERROR(VLOOKUP(J130,'Inadimplencia - FEV 2025'!$A$5:$E$85,4,0),"0")</f>
        <v>0</v>
      </c>
      <c r="L130" s="6" t="str">
        <f>IFERROR(VLOOKUP(J130,'Inadimplencia - Out 2025'!$A$5:$E$85,4,0),"0")</f>
        <v>0</v>
      </c>
      <c r="M130" s="31">
        <f t="shared" si="2"/>
        <v>0</v>
      </c>
      <c r="N130" s="5"/>
    </row>
    <row r="131" spans="1:14" x14ac:dyDescent="0.25">
      <c r="A131" s="38"/>
      <c r="B131" s="20" t="s">
        <v>335</v>
      </c>
      <c r="C131" s="17" t="s">
        <v>193</v>
      </c>
      <c r="D131" s="17" t="s">
        <v>117</v>
      </c>
      <c r="E131" s="18">
        <v>43</v>
      </c>
      <c r="F131" s="18">
        <v>2</v>
      </c>
      <c r="G131" s="17" t="s">
        <v>118</v>
      </c>
      <c r="H131" s="18">
        <v>8</v>
      </c>
      <c r="I131" s="19"/>
      <c r="J131" s="4" t="str">
        <f t="shared" si="3"/>
        <v>AZ043</v>
      </c>
      <c r="K131" s="6" t="str">
        <f>IFERROR(VLOOKUP(J131,'Inadimplencia - FEV 2025'!$A$5:$E$85,4,0),"0")</f>
        <v>0</v>
      </c>
      <c r="L131" s="6" t="str">
        <f>IFERROR(VLOOKUP(J131,'Inadimplencia - Out 2025'!$A$5:$E$85,4,0),"0")</f>
        <v>0</v>
      </c>
      <c r="M131" s="31">
        <f t="shared" si="2"/>
        <v>0</v>
      </c>
      <c r="N131" s="5"/>
    </row>
    <row r="132" spans="1:14" ht="25.5" x14ac:dyDescent="0.25">
      <c r="A132" s="38"/>
      <c r="B132" s="20" t="s">
        <v>337</v>
      </c>
      <c r="C132" s="21" t="s">
        <v>195</v>
      </c>
      <c r="D132" s="21" t="s">
        <v>117</v>
      </c>
      <c r="E132" s="22">
        <v>44</v>
      </c>
      <c r="F132" s="22">
        <v>2</v>
      </c>
      <c r="G132" s="21" t="s">
        <v>118</v>
      </c>
      <c r="H132" s="22">
        <v>8</v>
      </c>
      <c r="I132" s="19"/>
      <c r="J132" s="4" t="str">
        <f t="shared" si="3"/>
        <v>AZ044</v>
      </c>
      <c r="K132" s="6" t="str">
        <f>IFERROR(VLOOKUP(J132,'Inadimplencia - FEV 2025'!$A$5:$E$85,4,0),"0")</f>
        <v>0</v>
      </c>
      <c r="L132" s="6" t="str">
        <f>IFERROR(VLOOKUP(J132,'Inadimplencia - Out 2025'!$A$5:$E$85,4,0),"0")</f>
        <v>0</v>
      </c>
      <c r="M132" s="31">
        <f t="shared" si="2"/>
        <v>0</v>
      </c>
      <c r="N132" s="5"/>
    </row>
    <row r="133" spans="1:14" x14ac:dyDescent="0.25">
      <c r="A133" s="38"/>
      <c r="B133" s="16" t="s">
        <v>339</v>
      </c>
      <c r="C133" s="21" t="s">
        <v>197</v>
      </c>
      <c r="D133" s="21" t="s">
        <v>117</v>
      </c>
      <c r="E133" s="22">
        <v>45</v>
      </c>
      <c r="F133" s="22">
        <v>2</v>
      </c>
      <c r="G133" s="21" t="s">
        <v>118</v>
      </c>
      <c r="H133" s="22">
        <v>8</v>
      </c>
      <c r="I133" s="19"/>
      <c r="J133" s="4" t="str">
        <f t="shared" si="3"/>
        <v>AZ045</v>
      </c>
      <c r="K133" s="6" t="str">
        <f>IFERROR(VLOOKUP(J133,'Inadimplencia - FEV 2025'!$A$5:$E$85,4,0),"0")</f>
        <v>0</v>
      </c>
      <c r="L133" s="6" t="str">
        <f>IFERROR(VLOOKUP(J133,'Inadimplencia - Out 2025'!$A$5:$E$85,4,0),"0")</f>
        <v>0</v>
      </c>
      <c r="M133" s="31">
        <f t="shared" si="2"/>
        <v>0</v>
      </c>
      <c r="N133" s="5"/>
    </row>
    <row r="134" spans="1:14" ht="25.5" x14ac:dyDescent="0.25">
      <c r="A134" s="38"/>
      <c r="B134" s="16" t="s">
        <v>341</v>
      </c>
      <c r="C134" s="21" t="s">
        <v>199</v>
      </c>
      <c r="D134" s="21" t="s">
        <v>117</v>
      </c>
      <c r="E134" s="22">
        <v>46</v>
      </c>
      <c r="F134" s="22">
        <v>2</v>
      </c>
      <c r="G134" s="21" t="s">
        <v>118</v>
      </c>
      <c r="H134" s="22">
        <v>8</v>
      </c>
      <c r="I134" s="19"/>
      <c r="J134" s="4" t="str">
        <f t="shared" ref="J134:J165" si="4">"AZ" &amp; TEXT(E134, "000")</f>
        <v>AZ046</v>
      </c>
      <c r="K134" s="6" t="str">
        <f>IFERROR(VLOOKUP(J134,'Inadimplencia - FEV 2025'!$A$5:$E$85,4,0),"0")</f>
        <v>0</v>
      </c>
      <c r="L134" s="6" t="str">
        <f>IFERROR(VLOOKUP(J134,'Inadimplencia - Out 2025'!$A$5:$E$85,4,0),"0")</f>
        <v>0</v>
      </c>
      <c r="M134" s="31">
        <f t="shared" si="2"/>
        <v>0</v>
      </c>
      <c r="N134" s="5"/>
    </row>
    <row r="135" spans="1:14" x14ac:dyDescent="0.25">
      <c r="A135" s="38"/>
      <c r="B135" s="20" t="s">
        <v>343</v>
      </c>
      <c r="C135" s="21" t="s">
        <v>203</v>
      </c>
      <c r="D135" s="21" t="s">
        <v>117</v>
      </c>
      <c r="E135" s="22">
        <v>48</v>
      </c>
      <c r="F135" s="22">
        <v>2</v>
      </c>
      <c r="G135" s="21" t="s">
        <v>118</v>
      </c>
      <c r="H135" s="22">
        <v>8</v>
      </c>
      <c r="I135" s="19"/>
      <c r="J135" s="4" t="str">
        <f t="shared" si="4"/>
        <v>AZ048</v>
      </c>
      <c r="K135" s="6" t="str">
        <f>IFERROR(VLOOKUP(J135,'Inadimplencia - FEV 2025'!$A$5:$E$85,4,0),"0")</f>
        <v>0</v>
      </c>
      <c r="L135" s="6" t="str">
        <f>IFERROR(VLOOKUP(J135,'Inadimplencia - Out 2025'!$A$5:$E$85,4,0),"0")</f>
        <v>0</v>
      </c>
      <c r="M135" s="31">
        <f t="shared" ref="M135:M198" si="5">L135-K135</f>
        <v>0</v>
      </c>
      <c r="N135" s="5"/>
    </row>
    <row r="136" spans="1:14" x14ac:dyDescent="0.25">
      <c r="A136" s="38"/>
      <c r="B136" s="20" t="s">
        <v>345</v>
      </c>
      <c r="C136" s="21" t="s">
        <v>205</v>
      </c>
      <c r="D136" s="21" t="s">
        <v>117</v>
      </c>
      <c r="E136" s="22">
        <v>49</v>
      </c>
      <c r="F136" s="22">
        <v>2</v>
      </c>
      <c r="G136" s="21" t="s">
        <v>118</v>
      </c>
      <c r="H136" s="22">
        <v>8</v>
      </c>
      <c r="I136" s="19"/>
      <c r="J136" s="4" t="str">
        <f t="shared" si="4"/>
        <v>AZ049</v>
      </c>
      <c r="K136" s="6" t="str">
        <f>IFERROR(VLOOKUP(J136,'Inadimplencia - FEV 2025'!$A$5:$E$85,4,0),"0")</f>
        <v>0</v>
      </c>
      <c r="L136" s="6" t="str">
        <f>IFERROR(VLOOKUP(J136,'Inadimplencia - Out 2025'!$A$5:$E$85,4,0),"0")</f>
        <v>0</v>
      </c>
      <c r="M136" s="31">
        <f t="shared" si="5"/>
        <v>0</v>
      </c>
      <c r="N136" s="5"/>
    </row>
    <row r="137" spans="1:14" x14ac:dyDescent="0.25">
      <c r="A137" s="38"/>
      <c r="B137" s="20" t="s">
        <v>226</v>
      </c>
      <c r="C137" s="17" t="s">
        <v>207</v>
      </c>
      <c r="D137" s="17" t="s">
        <v>117</v>
      </c>
      <c r="E137" s="18">
        <v>50</v>
      </c>
      <c r="F137" s="18">
        <v>2</v>
      </c>
      <c r="G137" s="17" t="s">
        <v>118</v>
      </c>
      <c r="H137" s="18">
        <v>8</v>
      </c>
      <c r="I137" s="19"/>
      <c r="J137" s="4" t="str">
        <f t="shared" si="4"/>
        <v>AZ050</v>
      </c>
      <c r="K137" s="6" t="str">
        <f>IFERROR(VLOOKUP(J137,'Inadimplencia - FEV 2025'!$A$5:$E$85,4,0),"0")</f>
        <v>0</v>
      </c>
      <c r="L137" s="6" t="str">
        <f>IFERROR(VLOOKUP(J137,'Inadimplencia - Out 2025'!$A$5:$E$85,4,0),"0")</f>
        <v>0</v>
      </c>
      <c r="M137" s="31">
        <f t="shared" si="5"/>
        <v>0</v>
      </c>
      <c r="N137" s="5"/>
    </row>
    <row r="138" spans="1:14" ht="25.5" x14ac:dyDescent="0.25">
      <c r="A138" s="38"/>
      <c r="B138" s="16" t="s">
        <v>347</v>
      </c>
      <c r="C138" s="17" t="s">
        <v>209</v>
      </c>
      <c r="D138" s="17" t="s">
        <v>117</v>
      </c>
      <c r="E138" s="18">
        <v>51</v>
      </c>
      <c r="F138" s="18">
        <v>2</v>
      </c>
      <c r="G138" s="17" t="s">
        <v>118</v>
      </c>
      <c r="H138" s="18">
        <v>8</v>
      </c>
      <c r="I138" s="19"/>
      <c r="J138" s="4" t="str">
        <f t="shared" si="4"/>
        <v>AZ051</v>
      </c>
      <c r="K138" s="6" t="str">
        <f>IFERROR(VLOOKUP(J138,'Inadimplencia - FEV 2025'!$A$5:$E$85,4,0),"0")</f>
        <v>0</v>
      </c>
      <c r="L138" s="6" t="str">
        <f>IFERROR(VLOOKUP(J138,'Inadimplencia - Out 2025'!$A$5:$E$85,4,0),"0")</f>
        <v>0</v>
      </c>
      <c r="M138" s="31">
        <f t="shared" si="5"/>
        <v>0</v>
      </c>
      <c r="N138" s="5"/>
    </row>
    <row r="139" spans="1:14" x14ac:dyDescent="0.25">
      <c r="A139" s="38"/>
      <c r="B139" s="16" t="s">
        <v>349</v>
      </c>
      <c r="C139" s="21" t="s">
        <v>211</v>
      </c>
      <c r="D139" s="21" t="s">
        <v>117</v>
      </c>
      <c r="E139" s="22">
        <v>52</v>
      </c>
      <c r="F139" s="22">
        <v>2</v>
      </c>
      <c r="G139" s="21" t="s">
        <v>118</v>
      </c>
      <c r="H139" s="22">
        <v>8</v>
      </c>
      <c r="I139" s="19"/>
      <c r="J139" s="4" t="str">
        <f t="shared" si="4"/>
        <v>AZ052</v>
      </c>
      <c r="K139" s="6" t="str">
        <f>IFERROR(VLOOKUP(J139,'Inadimplencia - FEV 2025'!$A$5:$E$85,4,0),"0")</f>
        <v>0</v>
      </c>
      <c r="L139" s="6" t="str">
        <f>IFERROR(VLOOKUP(J139,'Inadimplencia - Out 2025'!$A$5:$E$85,4,0),"0")</f>
        <v>0</v>
      </c>
      <c r="M139" s="31">
        <f t="shared" si="5"/>
        <v>0</v>
      </c>
      <c r="N139" s="5"/>
    </row>
    <row r="140" spans="1:14" ht="25.5" x14ac:dyDescent="0.25">
      <c r="A140" s="38"/>
      <c r="B140" s="20" t="s">
        <v>351</v>
      </c>
      <c r="C140" s="21" t="s">
        <v>213</v>
      </c>
      <c r="D140" s="21" t="s">
        <v>117</v>
      </c>
      <c r="E140" s="22">
        <v>53</v>
      </c>
      <c r="F140" s="22">
        <v>2</v>
      </c>
      <c r="G140" s="21" t="s">
        <v>118</v>
      </c>
      <c r="H140" s="22">
        <v>8</v>
      </c>
      <c r="I140" s="19"/>
      <c r="J140" s="4" t="str">
        <f t="shared" si="4"/>
        <v>AZ053</v>
      </c>
      <c r="K140" s="6" t="str">
        <f>IFERROR(VLOOKUP(J140,'Inadimplencia - FEV 2025'!$A$5:$E$85,4,0),"0")</f>
        <v>0</v>
      </c>
      <c r="L140" s="6" t="str">
        <f>IFERROR(VLOOKUP(J140,'Inadimplencia - Out 2025'!$A$5:$E$85,4,0),"0")</f>
        <v>0</v>
      </c>
      <c r="M140" s="31">
        <f t="shared" si="5"/>
        <v>0</v>
      </c>
      <c r="N140" s="5"/>
    </row>
    <row r="141" spans="1:14" x14ac:dyDescent="0.25">
      <c r="A141" s="38"/>
      <c r="B141" s="20" t="s">
        <v>353</v>
      </c>
      <c r="C141" s="17" t="s">
        <v>215</v>
      </c>
      <c r="D141" s="17" t="s">
        <v>117</v>
      </c>
      <c r="E141" s="18">
        <v>54</v>
      </c>
      <c r="F141" s="18">
        <v>2</v>
      </c>
      <c r="G141" s="17" t="s">
        <v>118</v>
      </c>
      <c r="H141" s="18">
        <v>8</v>
      </c>
      <c r="I141" s="19"/>
      <c r="J141" s="4" t="str">
        <f t="shared" si="4"/>
        <v>AZ054</v>
      </c>
      <c r="K141" s="6" t="str">
        <f>IFERROR(VLOOKUP(J141,'Inadimplencia - FEV 2025'!$A$5:$E$85,4,0),"0")</f>
        <v>0</v>
      </c>
      <c r="L141" s="6" t="str">
        <f>IFERROR(VLOOKUP(J141,'Inadimplencia - Out 2025'!$A$5:$E$85,4,0),"0")</f>
        <v>0</v>
      </c>
      <c r="M141" s="31">
        <f t="shared" si="5"/>
        <v>0</v>
      </c>
      <c r="N141" s="5"/>
    </row>
    <row r="142" spans="1:14" x14ac:dyDescent="0.25">
      <c r="A142" s="38"/>
      <c r="B142" s="16" t="s">
        <v>355</v>
      </c>
      <c r="C142" s="21" t="s">
        <v>217</v>
      </c>
      <c r="D142" s="21" t="s">
        <v>117</v>
      </c>
      <c r="E142" s="22">
        <v>55</v>
      </c>
      <c r="F142" s="22">
        <v>2</v>
      </c>
      <c r="G142" s="21" t="s">
        <v>118</v>
      </c>
      <c r="H142" s="22">
        <v>8</v>
      </c>
      <c r="I142" s="19"/>
      <c r="J142" s="4" t="str">
        <f t="shared" si="4"/>
        <v>AZ055</v>
      </c>
      <c r="K142" s="6" t="str">
        <f>IFERROR(VLOOKUP(J142,'Inadimplencia - FEV 2025'!$A$5:$E$85,4,0),"0")</f>
        <v>0</v>
      </c>
      <c r="L142" s="6" t="str">
        <f>IFERROR(VLOOKUP(J142,'Inadimplencia - Out 2025'!$A$5:$E$85,4,0),"0")</f>
        <v>0</v>
      </c>
      <c r="M142" s="31">
        <f t="shared" si="5"/>
        <v>0</v>
      </c>
      <c r="N142" s="5"/>
    </row>
    <row r="143" spans="1:14" x14ac:dyDescent="0.25">
      <c r="A143" s="38"/>
      <c r="B143" s="20" t="s">
        <v>357</v>
      </c>
      <c r="C143" s="17" t="s">
        <v>219</v>
      </c>
      <c r="D143" s="17" t="s">
        <v>117</v>
      </c>
      <c r="E143" s="18">
        <v>56</v>
      </c>
      <c r="F143" s="18">
        <v>2</v>
      </c>
      <c r="G143" s="17" t="s">
        <v>118</v>
      </c>
      <c r="H143" s="18">
        <v>8</v>
      </c>
      <c r="I143" s="19"/>
      <c r="J143" s="4" t="str">
        <f t="shared" si="4"/>
        <v>AZ056</v>
      </c>
      <c r="K143" s="6" t="str">
        <f>IFERROR(VLOOKUP(J143,'Inadimplencia - FEV 2025'!$A$5:$E$85,4,0),"0")</f>
        <v>0</v>
      </c>
      <c r="L143" s="6" t="str">
        <f>IFERROR(VLOOKUP(J143,'Inadimplencia - Out 2025'!$A$5:$E$85,4,0),"0")</f>
        <v>0</v>
      </c>
      <c r="M143" s="31">
        <f t="shared" si="5"/>
        <v>0</v>
      </c>
      <c r="N143" s="5"/>
    </row>
    <row r="144" spans="1:14" x14ac:dyDescent="0.25">
      <c r="A144" s="38"/>
      <c r="B144" s="16" t="s">
        <v>359</v>
      </c>
      <c r="C144" s="17" t="s">
        <v>221</v>
      </c>
      <c r="D144" s="17" t="s">
        <v>117</v>
      </c>
      <c r="E144" s="18">
        <v>57</v>
      </c>
      <c r="F144" s="18">
        <v>2</v>
      </c>
      <c r="G144" s="17" t="s">
        <v>118</v>
      </c>
      <c r="H144" s="18">
        <v>8</v>
      </c>
      <c r="I144" s="19"/>
      <c r="J144" s="4" t="str">
        <f t="shared" si="4"/>
        <v>AZ057</v>
      </c>
      <c r="K144" s="6" t="str">
        <f>IFERROR(VLOOKUP(J144,'Inadimplencia - FEV 2025'!$A$5:$E$85,4,0),"0")</f>
        <v>0</v>
      </c>
      <c r="L144" s="6" t="str">
        <f>IFERROR(VLOOKUP(J144,'Inadimplencia - Out 2025'!$A$5:$E$85,4,0),"0")</f>
        <v>0</v>
      </c>
      <c r="M144" s="31">
        <f t="shared" si="5"/>
        <v>0</v>
      </c>
      <c r="N144" s="5"/>
    </row>
    <row r="145" spans="1:14" x14ac:dyDescent="0.25">
      <c r="A145" s="38"/>
      <c r="B145" s="20" t="s">
        <v>361</v>
      </c>
      <c r="C145" s="21" t="s">
        <v>227</v>
      </c>
      <c r="D145" s="21" t="s">
        <v>117</v>
      </c>
      <c r="E145" s="22">
        <v>60</v>
      </c>
      <c r="F145" s="22">
        <v>2</v>
      </c>
      <c r="G145" s="21" t="s">
        <v>118</v>
      </c>
      <c r="H145" s="22">
        <v>8</v>
      </c>
      <c r="I145" s="19"/>
      <c r="J145" s="4" t="str">
        <f t="shared" si="4"/>
        <v>AZ060</v>
      </c>
      <c r="K145" s="6" t="str">
        <f>IFERROR(VLOOKUP(J145,'Inadimplencia - FEV 2025'!$A$5:$E$85,4,0),"0")</f>
        <v>0</v>
      </c>
      <c r="L145" s="6" t="str">
        <f>IFERROR(VLOOKUP(J145,'Inadimplencia - Out 2025'!$A$5:$E$85,4,0),"0")</f>
        <v>0</v>
      </c>
      <c r="M145" s="31">
        <f t="shared" si="5"/>
        <v>0</v>
      </c>
      <c r="N145" s="5"/>
    </row>
    <row r="146" spans="1:14" x14ac:dyDescent="0.25">
      <c r="A146" s="38"/>
      <c r="B146" s="20" t="s">
        <v>363</v>
      </c>
      <c r="C146" s="17" t="s">
        <v>229</v>
      </c>
      <c r="D146" s="17" t="s">
        <v>117</v>
      </c>
      <c r="E146" s="18">
        <v>61</v>
      </c>
      <c r="F146" s="18">
        <v>2</v>
      </c>
      <c r="G146" s="17" t="s">
        <v>118</v>
      </c>
      <c r="H146" s="18">
        <v>8</v>
      </c>
      <c r="I146" s="19"/>
      <c r="J146" s="4" t="str">
        <f t="shared" si="4"/>
        <v>AZ061</v>
      </c>
      <c r="K146" s="6" t="str">
        <f>IFERROR(VLOOKUP(J146,'Inadimplencia - FEV 2025'!$A$5:$E$85,4,0),"0")</f>
        <v>0</v>
      </c>
      <c r="L146" s="6" t="str">
        <f>IFERROR(VLOOKUP(J146,'Inadimplencia - Out 2025'!$A$5:$E$85,4,0),"0")</f>
        <v>0</v>
      </c>
      <c r="M146" s="31">
        <f t="shared" si="5"/>
        <v>0</v>
      </c>
      <c r="N146" s="5"/>
    </row>
    <row r="147" spans="1:14" x14ac:dyDescent="0.25">
      <c r="A147" s="38"/>
      <c r="B147" s="20" t="s">
        <v>365</v>
      </c>
      <c r="C147" s="17" t="s">
        <v>233</v>
      </c>
      <c r="D147" s="17" t="s">
        <v>117</v>
      </c>
      <c r="E147" s="18">
        <v>63</v>
      </c>
      <c r="F147" s="18">
        <v>2</v>
      </c>
      <c r="G147" s="17" t="s">
        <v>118</v>
      </c>
      <c r="H147" s="18">
        <v>8</v>
      </c>
      <c r="I147" s="19"/>
      <c r="J147" s="4" t="str">
        <f t="shared" si="4"/>
        <v>AZ063</v>
      </c>
      <c r="K147" s="6" t="str">
        <f>IFERROR(VLOOKUP(J147,'Inadimplencia - FEV 2025'!$A$5:$E$85,4,0),"0")</f>
        <v>0</v>
      </c>
      <c r="L147" s="6" t="str">
        <f>IFERROR(VLOOKUP(J147,'Inadimplencia - Out 2025'!$A$5:$E$85,4,0),"0")</f>
        <v>0</v>
      </c>
      <c r="M147" s="31">
        <f t="shared" si="5"/>
        <v>0</v>
      </c>
      <c r="N147" s="5"/>
    </row>
    <row r="148" spans="1:14" x14ac:dyDescent="0.25">
      <c r="A148" s="38"/>
      <c r="B148" s="16" t="s">
        <v>367</v>
      </c>
      <c r="C148" s="21" t="s">
        <v>237</v>
      </c>
      <c r="D148" s="21" t="s">
        <v>117</v>
      </c>
      <c r="E148" s="22">
        <v>65</v>
      </c>
      <c r="F148" s="22">
        <v>2</v>
      </c>
      <c r="G148" s="21" t="s">
        <v>118</v>
      </c>
      <c r="H148" s="22">
        <v>8</v>
      </c>
      <c r="I148" s="19"/>
      <c r="J148" s="4" t="str">
        <f t="shared" si="4"/>
        <v>AZ065</v>
      </c>
      <c r="K148" s="6" t="str">
        <f>IFERROR(VLOOKUP(J148,'Inadimplencia - FEV 2025'!$A$5:$E$85,4,0),"0")</f>
        <v>0</v>
      </c>
      <c r="L148" s="6" t="str">
        <f>IFERROR(VLOOKUP(J148,'Inadimplencia - Out 2025'!$A$5:$E$85,4,0),"0")</f>
        <v>0</v>
      </c>
      <c r="M148" s="31">
        <f t="shared" si="5"/>
        <v>0</v>
      </c>
      <c r="N148" s="5"/>
    </row>
    <row r="149" spans="1:14" x14ac:dyDescent="0.25">
      <c r="A149" s="38"/>
      <c r="B149" s="16" t="s">
        <v>369</v>
      </c>
      <c r="C149" s="21" t="s">
        <v>239</v>
      </c>
      <c r="D149" s="21" t="s">
        <v>117</v>
      </c>
      <c r="E149" s="22">
        <v>66</v>
      </c>
      <c r="F149" s="22">
        <v>2</v>
      </c>
      <c r="G149" s="21" t="s">
        <v>118</v>
      </c>
      <c r="H149" s="22">
        <v>8</v>
      </c>
      <c r="I149" s="19"/>
      <c r="J149" s="4" t="str">
        <f t="shared" si="4"/>
        <v>AZ066</v>
      </c>
      <c r="K149" s="6" t="str">
        <f>IFERROR(VLOOKUP(J149,'Inadimplencia - FEV 2025'!$A$5:$E$85,4,0),"0")</f>
        <v>0</v>
      </c>
      <c r="L149" s="6" t="str">
        <f>IFERROR(VLOOKUP(J149,'Inadimplencia - Out 2025'!$A$5:$E$85,4,0),"0")</f>
        <v>0</v>
      </c>
      <c r="M149" s="31">
        <f t="shared" si="5"/>
        <v>0</v>
      </c>
      <c r="N149" s="5"/>
    </row>
    <row r="150" spans="1:14" x14ac:dyDescent="0.25">
      <c r="A150" s="38"/>
      <c r="B150" s="16" t="s">
        <v>371</v>
      </c>
      <c r="C150" s="21" t="s">
        <v>241</v>
      </c>
      <c r="D150" s="21" t="s">
        <v>117</v>
      </c>
      <c r="E150" s="22">
        <v>67</v>
      </c>
      <c r="F150" s="22">
        <v>2</v>
      </c>
      <c r="G150" s="21" t="s">
        <v>118</v>
      </c>
      <c r="H150" s="22">
        <v>8</v>
      </c>
      <c r="I150" s="19"/>
      <c r="J150" s="4" t="str">
        <f t="shared" si="4"/>
        <v>AZ067</v>
      </c>
      <c r="K150" s="6" t="str">
        <f>IFERROR(VLOOKUP(J150,'Inadimplencia - FEV 2025'!$A$5:$E$85,4,0),"0")</f>
        <v>0</v>
      </c>
      <c r="L150" s="6" t="str">
        <f>IFERROR(VLOOKUP(J150,'Inadimplencia - Out 2025'!$A$5:$E$85,4,0),"0")</f>
        <v>0</v>
      </c>
      <c r="M150" s="31">
        <f t="shared" si="5"/>
        <v>0</v>
      </c>
      <c r="N150" s="5"/>
    </row>
    <row r="151" spans="1:14" x14ac:dyDescent="0.25">
      <c r="A151" s="38"/>
      <c r="B151" s="20" t="s">
        <v>373</v>
      </c>
      <c r="C151" s="21" t="s">
        <v>247</v>
      </c>
      <c r="D151" s="21" t="s">
        <v>117</v>
      </c>
      <c r="E151" s="22">
        <v>71</v>
      </c>
      <c r="F151" s="22">
        <v>2</v>
      </c>
      <c r="G151" s="21" t="s">
        <v>118</v>
      </c>
      <c r="H151" s="22">
        <v>8</v>
      </c>
      <c r="I151" s="19"/>
      <c r="J151" s="4" t="str">
        <f t="shared" si="4"/>
        <v>AZ071</v>
      </c>
      <c r="K151" s="6" t="str">
        <f>IFERROR(VLOOKUP(J151,'Inadimplencia - FEV 2025'!$A$5:$E$85,4,0),"0")</f>
        <v>0</v>
      </c>
      <c r="L151" s="6" t="str">
        <f>IFERROR(VLOOKUP(J151,'Inadimplencia - Out 2025'!$A$5:$E$85,4,0),"0")</f>
        <v>0</v>
      </c>
      <c r="M151" s="31">
        <f t="shared" si="5"/>
        <v>0</v>
      </c>
      <c r="N151" s="5"/>
    </row>
    <row r="152" spans="1:14" x14ac:dyDescent="0.25">
      <c r="A152" s="38"/>
      <c r="B152" s="16" t="s">
        <v>375</v>
      </c>
      <c r="C152" s="17" t="s">
        <v>249</v>
      </c>
      <c r="D152" s="17" t="s">
        <v>117</v>
      </c>
      <c r="E152" s="18">
        <v>72</v>
      </c>
      <c r="F152" s="18">
        <v>2</v>
      </c>
      <c r="G152" s="17" t="s">
        <v>118</v>
      </c>
      <c r="H152" s="18">
        <v>8</v>
      </c>
      <c r="I152" s="19"/>
      <c r="J152" s="4" t="str">
        <f t="shared" si="4"/>
        <v>AZ072</v>
      </c>
      <c r="K152" s="6" t="str">
        <f>IFERROR(VLOOKUP(J152,'Inadimplencia - FEV 2025'!$A$5:$E$85,4,0),"0")</f>
        <v>0</v>
      </c>
      <c r="L152" s="6" t="str">
        <f>IFERROR(VLOOKUP(J152,'Inadimplencia - Out 2025'!$A$5:$E$85,4,0),"0")</f>
        <v>0</v>
      </c>
      <c r="M152" s="31">
        <f t="shared" si="5"/>
        <v>0</v>
      </c>
      <c r="N152" s="5"/>
    </row>
    <row r="153" spans="1:14" x14ac:dyDescent="0.25">
      <c r="A153" s="38"/>
      <c r="B153" s="16" t="s">
        <v>377</v>
      </c>
      <c r="C153" s="21" t="s">
        <v>251</v>
      </c>
      <c r="D153" s="21" t="s">
        <v>117</v>
      </c>
      <c r="E153" s="22">
        <v>73</v>
      </c>
      <c r="F153" s="22">
        <v>2</v>
      </c>
      <c r="G153" s="21" t="s">
        <v>118</v>
      </c>
      <c r="H153" s="22">
        <v>8</v>
      </c>
      <c r="I153" s="19"/>
      <c r="J153" s="4" t="str">
        <f t="shared" si="4"/>
        <v>AZ073</v>
      </c>
      <c r="K153" s="6" t="str">
        <f>IFERROR(VLOOKUP(J153,'Inadimplencia - FEV 2025'!$A$5:$E$85,4,0),"0")</f>
        <v>0</v>
      </c>
      <c r="L153" s="6" t="str">
        <f>IFERROR(VLOOKUP(J153,'Inadimplencia - Out 2025'!$A$5:$E$85,4,0),"0")</f>
        <v>0</v>
      </c>
      <c r="M153" s="31">
        <f t="shared" si="5"/>
        <v>0</v>
      </c>
      <c r="N153" s="5"/>
    </row>
    <row r="154" spans="1:14" x14ac:dyDescent="0.25">
      <c r="A154" s="38"/>
      <c r="B154" s="16" t="s">
        <v>379</v>
      </c>
      <c r="C154" s="21" t="s">
        <v>253</v>
      </c>
      <c r="D154" s="21" t="s">
        <v>117</v>
      </c>
      <c r="E154" s="22">
        <v>74</v>
      </c>
      <c r="F154" s="22">
        <v>2</v>
      </c>
      <c r="G154" s="21" t="s">
        <v>118</v>
      </c>
      <c r="H154" s="22">
        <v>8</v>
      </c>
      <c r="I154" s="19"/>
      <c r="J154" s="4" t="str">
        <f t="shared" si="4"/>
        <v>AZ074</v>
      </c>
      <c r="K154" s="6" t="str">
        <f>IFERROR(VLOOKUP(J154,'Inadimplencia - FEV 2025'!$A$5:$E$85,4,0),"0")</f>
        <v>0</v>
      </c>
      <c r="L154" s="6" t="str">
        <f>IFERROR(VLOOKUP(J154,'Inadimplencia - Out 2025'!$A$5:$E$85,4,0),"0")</f>
        <v>0</v>
      </c>
      <c r="M154" s="31">
        <f t="shared" si="5"/>
        <v>0</v>
      </c>
      <c r="N154" s="5"/>
    </row>
    <row r="155" spans="1:14" x14ac:dyDescent="0.25">
      <c r="A155" s="38"/>
      <c r="B155" s="20" t="s">
        <v>381</v>
      </c>
      <c r="C155" s="21" t="s">
        <v>255</v>
      </c>
      <c r="D155" s="21" t="s">
        <v>117</v>
      </c>
      <c r="E155" s="22">
        <v>75</v>
      </c>
      <c r="F155" s="22">
        <v>2</v>
      </c>
      <c r="G155" s="21" t="s">
        <v>118</v>
      </c>
      <c r="H155" s="22">
        <v>8</v>
      </c>
      <c r="I155" s="19"/>
      <c r="J155" s="4" t="str">
        <f t="shared" si="4"/>
        <v>AZ075</v>
      </c>
      <c r="K155" s="6" t="str">
        <f>IFERROR(VLOOKUP(J155,'Inadimplencia - FEV 2025'!$A$5:$E$85,4,0),"0")</f>
        <v>0</v>
      </c>
      <c r="L155" s="6" t="str">
        <f>IFERROR(VLOOKUP(J155,'Inadimplencia - Out 2025'!$A$5:$E$85,4,0),"0")</f>
        <v>0</v>
      </c>
      <c r="M155" s="31">
        <f t="shared" si="5"/>
        <v>0</v>
      </c>
      <c r="N155" s="5"/>
    </row>
    <row r="156" spans="1:14" ht="25.5" x14ac:dyDescent="0.25">
      <c r="A156" s="38"/>
      <c r="B156" s="20" t="s">
        <v>383</v>
      </c>
      <c r="C156" s="21" t="s">
        <v>257</v>
      </c>
      <c r="D156" s="21" t="s">
        <v>117</v>
      </c>
      <c r="E156" s="22">
        <v>76</v>
      </c>
      <c r="F156" s="22">
        <v>2</v>
      </c>
      <c r="G156" s="21" t="s">
        <v>118</v>
      </c>
      <c r="H156" s="22">
        <v>8</v>
      </c>
      <c r="I156" s="19"/>
      <c r="J156" s="4" t="str">
        <f t="shared" si="4"/>
        <v>AZ076</v>
      </c>
      <c r="K156" s="6" t="str">
        <f>IFERROR(VLOOKUP(J156,'Inadimplencia - FEV 2025'!$A$5:$E$85,4,0),"0")</f>
        <v>0</v>
      </c>
      <c r="L156" s="6" t="str">
        <f>IFERROR(VLOOKUP(J156,'Inadimplencia - Out 2025'!$A$5:$E$85,4,0),"0")</f>
        <v>0</v>
      </c>
      <c r="M156" s="31">
        <f t="shared" si="5"/>
        <v>0</v>
      </c>
      <c r="N156" s="5"/>
    </row>
    <row r="157" spans="1:14" x14ac:dyDescent="0.25">
      <c r="A157" s="38"/>
      <c r="B157" s="16" t="s">
        <v>385</v>
      </c>
      <c r="C157" s="21" t="s">
        <v>259</v>
      </c>
      <c r="D157" s="21" t="s">
        <v>117</v>
      </c>
      <c r="E157" s="22">
        <v>77</v>
      </c>
      <c r="F157" s="22">
        <v>2</v>
      </c>
      <c r="G157" s="21" t="s">
        <v>118</v>
      </c>
      <c r="H157" s="22">
        <v>8</v>
      </c>
      <c r="I157" s="19"/>
      <c r="J157" s="4" t="str">
        <f t="shared" si="4"/>
        <v>AZ077</v>
      </c>
      <c r="K157" s="6" t="str">
        <f>IFERROR(VLOOKUP(J157,'Inadimplencia - FEV 2025'!$A$5:$E$85,4,0),"0")</f>
        <v>0</v>
      </c>
      <c r="L157" s="6" t="str">
        <f>IFERROR(VLOOKUP(J157,'Inadimplencia - Out 2025'!$A$5:$E$85,4,0),"0")</f>
        <v>0</v>
      </c>
      <c r="M157" s="31">
        <f t="shared" si="5"/>
        <v>0</v>
      </c>
      <c r="N157" s="5"/>
    </row>
    <row r="158" spans="1:14" x14ac:dyDescent="0.25">
      <c r="A158" s="38"/>
      <c r="B158" s="20" t="s">
        <v>387</v>
      </c>
      <c r="C158" s="21" t="s">
        <v>261</v>
      </c>
      <c r="D158" s="21" t="s">
        <v>117</v>
      </c>
      <c r="E158" s="22">
        <v>78</v>
      </c>
      <c r="F158" s="22">
        <v>2</v>
      </c>
      <c r="G158" s="21" t="s">
        <v>118</v>
      </c>
      <c r="H158" s="22">
        <v>8</v>
      </c>
      <c r="I158" s="19"/>
      <c r="J158" s="4" t="str">
        <f t="shared" si="4"/>
        <v>AZ078</v>
      </c>
      <c r="K158" s="6" t="str">
        <f>IFERROR(VLOOKUP(J158,'Inadimplencia - FEV 2025'!$A$5:$E$85,4,0),"0")</f>
        <v>0</v>
      </c>
      <c r="L158" s="6" t="str">
        <f>IFERROR(VLOOKUP(J158,'Inadimplencia - Out 2025'!$A$5:$E$85,4,0),"0")</f>
        <v>0</v>
      </c>
      <c r="M158" s="31">
        <f t="shared" si="5"/>
        <v>0</v>
      </c>
      <c r="N158" s="5"/>
    </row>
    <row r="159" spans="1:14" x14ac:dyDescent="0.25">
      <c r="A159" s="38"/>
      <c r="B159" s="20" t="s">
        <v>389</v>
      </c>
      <c r="C159" s="21" t="s">
        <v>263</v>
      </c>
      <c r="D159" s="21" t="s">
        <v>117</v>
      </c>
      <c r="E159" s="22">
        <v>79</v>
      </c>
      <c r="F159" s="22">
        <v>2</v>
      </c>
      <c r="G159" s="21" t="s">
        <v>118</v>
      </c>
      <c r="H159" s="22">
        <v>8</v>
      </c>
      <c r="I159" s="19"/>
      <c r="J159" s="4" t="str">
        <f t="shared" si="4"/>
        <v>AZ079</v>
      </c>
      <c r="K159" s="6" t="str">
        <f>IFERROR(VLOOKUP(J159,'Inadimplencia - FEV 2025'!$A$5:$E$85,4,0),"0")</f>
        <v>0</v>
      </c>
      <c r="L159" s="6" t="str">
        <f>IFERROR(VLOOKUP(J159,'Inadimplencia - Out 2025'!$A$5:$E$85,4,0),"0")</f>
        <v>0</v>
      </c>
      <c r="M159" s="31">
        <f t="shared" si="5"/>
        <v>0</v>
      </c>
      <c r="N159" s="5"/>
    </row>
    <row r="160" spans="1:14" x14ac:dyDescent="0.25">
      <c r="A160" s="38"/>
      <c r="B160" s="16" t="s">
        <v>391</v>
      </c>
      <c r="C160" s="17" t="s">
        <v>265</v>
      </c>
      <c r="D160" s="17" t="s">
        <v>117</v>
      </c>
      <c r="E160" s="18">
        <v>80</v>
      </c>
      <c r="F160" s="18">
        <v>2</v>
      </c>
      <c r="G160" s="17" t="s">
        <v>118</v>
      </c>
      <c r="H160" s="18">
        <v>8</v>
      </c>
      <c r="I160" s="19"/>
      <c r="J160" s="4" t="str">
        <f t="shared" si="4"/>
        <v>AZ080</v>
      </c>
      <c r="K160" s="6" t="str">
        <f>IFERROR(VLOOKUP(J160,'Inadimplencia - FEV 2025'!$A$5:$E$85,4,0),"0")</f>
        <v>0</v>
      </c>
      <c r="L160" s="6" t="str">
        <f>IFERROR(VLOOKUP(J160,'Inadimplencia - Out 2025'!$A$5:$E$85,4,0),"0")</f>
        <v>0</v>
      </c>
      <c r="M160" s="31">
        <f t="shared" si="5"/>
        <v>0</v>
      </c>
      <c r="N160" s="5"/>
    </row>
    <row r="161" spans="1:14" x14ac:dyDescent="0.25">
      <c r="A161" s="38"/>
      <c r="B161" s="16" t="s">
        <v>393</v>
      </c>
      <c r="C161" s="17" t="s">
        <v>267</v>
      </c>
      <c r="D161" s="17" t="s">
        <v>117</v>
      </c>
      <c r="E161" s="18">
        <v>81</v>
      </c>
      <c r="F161" s="18">
        <v>2</v>
      </c>
      <c r="G161" s="17" t="s">
        <v>118</v>
      </c>
      <c r="H161" s="18">
        <v>8</v>
      </c>
      <c r="I161" s="19"/>
      <c r="J161" s="4" t="str">
        <f t="shared" si="4"/>
        <v>AZ081</v>
      </c>
      <c r="K161" s="6" t="str">
        <f>IFERROR(VLOOKUP(J161,'Inadimplencia - FEV 2025'!$A$5:$E$85,4,0),"0")</f>
        <v>0</v>
      </c>
      <c r="L161" s="6" t="str">
        <f>IFERROR(VLOOKUP(J161,'Inadimplencia - Out 2025'!$A$5:$E$85,4,0),"0")</f>
        <v>0</v>
      </c>
      <c r="M161" s="31">
        <f t="shared" si="5"/>
        <v>0</v>
      </c>
      <c r="N161" s="5"/>
    </row>
    <row r="162" spans="1:14" x14ac:dyDescent="0.25">
      <c r="A162" s="38"/>
      <c r="B162" s="16" t="s">
        <v>395</v>
      </c>
      <c r="C162" s="17" t="s">
        <v>269</v>
      </c>
      <c r="D162" s="17" t="s">
        <v>117</v>
      </c>
      <c r="E162" s="18">
        <v>82</v>
      </c>
      <c r="F162" s="18">
        <v>2</v>
      </c>
      <c r="G162" s="17" t="s">
        <v>118</v>
      </c>
      <c r="H162" s="18">
        <v>8</v>
      </c>
      <c r="I162" s="19"/>
      <c r="J162" s="4" t="str">
        <f t="shared" si="4"/>
        <v>AZ082</v>
      </c>
      <c r="K162" s="6" t="str">
        <f>IFERROR(VLOOKUP(J162,'Inadimplencia - FEV 2025'!$A$5:$E$85,4,0),"0")</f>
        <v>0</v>
      </c>
      <c r="L162" s="6" t="str">
        <f>IFERROR(VLOOKUP(J162,'Inadimplencia - Out 2025'!$A$5:$E$85,4,0),"0")</f>
        <v>0</v>
      </c>
      <c r="M162" s="31">
        <f t="shared" si="5"/>
        <v>0</v>
      </c>
      <c r="N162" s="5"/>
    </row>
    <row r="163" spans="1:14" x14ac:dyDescent="0.25">
      <c r="A163" s="38"/>
      <c r="B163" s="20" t="s">
        <v>397</v>
      </c>
      <c r="C163" s="17" t="s">
        <v>271</v>
      </c>
      <c r="D163" s="17" t="s">
        <v>117</v>
      </c>
      <c r="E163" s="18">
        <v>83</v>
      </c>
      <c r="F163" s="18">
        <v>2</v>
      </c>
      <c r="G163" s="17" t="s">
        <v>118</v>
      </c>
      <c r="H163" s="18">
        <v>8</v>
      </c>
      <c r="I163" s="19"/>
      <c r="J163" s="4" t="str">
        <f t="shared" si="4"/>
        <v>AZ083</v>
      </c>
      <c r="K163" s="6" t="str">
        <f>IFERROR(VLOOKUP(J163,'Inadimplencia - FEV 2025'!$A$5:$E$85,4,0),"0")</f>
        <v>0</v>
      </c>
      <c r="L163" s="6" t="str">
        <f>IFERROR(VLOOKUP(J163,'Inadimplencia - Out 2025'!$A$5:$E$85,4,0),"0")</f>
        <v>0</v>
      </c>
      <c r="M163" s="31">
        <f t="shared" si="5"/>
        <v>0</v>
      </c>
      <c r="N163" s="5"/>
    </row>
    <row r="164" spans="1:14" x14ac:dyDescent="0.25">
      <c r="A164" s="38"/>
      <c r="B164" s="20" t="s">
        <v>399</v>
      </c>
      <c r="C164" s="21" t="s">
        <v>273</v>
      </c>
      <c r="D164" s="21" t="s">
        <v>117</v>
      </c>
      <c r="E164" s="22">
        <v>84</v>
      </c>
      <c r="F164" s="22">
        <v>2</v>
      </c>
      <c r="G164" s="21" t="s">
        <v>118</v>
      </c>
      <c r="H164" s="22">
        <v>8</v>
      </c>
      <c r="I164" s="19"/>
      <c r="J164" s="4" t="str">
        <f t="shared" si="4"/>
        <v>AZ084</v>
      </c>
      <c r="K164" s="6" t="str">
        <f>IFERROR(VLOOKUP(J164,'Inadimplencia - FEV 2025'!$A$5:$E$85,4,0),"0")</f>
        <v>0</v>
      </c>
      <c r="L164" s="6" t="str">
        <f>IFERROR(VLOOKUP(J164,'Inadimplencia - Out 2025'!$A$5:$E$85,4,0),"0")</f>
        <v>0</v>
      </c>
      <c r="M164" s="31">
        <f t="shared" si="5"/>
        <v>0</v>
      </c>
      <c r="N164" s="5"/>
    </row>
    <row r="165" spans="1:14" x14ac:dyDescent="0.25">
      <c r="A165" s="38"/>
      <c r="B165" s="20" t="s">
        <v>401</v>
      </c>
      <c r="C165" s="17" t="s">
        <v>275</v>
      </c>
      <c r="D165" s="17" t="s">
        <v>117</v>
      </c>
      <c r="E165" s="18">
        <v>85</v>
      </c>
      <c r="F165" s="18">
        <v>2</v>
      </c>
      <c r="G165" s="17" t="s">
        <v>118</v>
      </c>
      <c r="H165" s="18">
        <v>8</v>
      </c>
      <c r="I165" s="19"/>
      <c r="J165" s="4" t="str">
        <f t="shared" si="4"/>
        <v>AZ085</v>
      </c>
      <c r="K165" s="6" t="str">
        <f>IFERROR(VLOOKUP(J165,'Inadimplencia - FEV 2025'!$A$5:$E$85,4,0),"0")</f>
        <v>0</v>
      </c>
      <c r="L165" s="6" t="str">
        <f>IFERROR(VLOOKUP(J165,'Inadimplencia - Out 2025'!$A$5:$E$85,4,0),"0")</f>
        <v>0</v>
      </c>
      <c r="M165" s="31">
        <f t="shared" si="5"/>
        <v>0</v>
      </c>
      <c r="N165" s="5"/>
    </row>
    <row r="166" spans="1:14" x14ac:dyDescent="0.25">
      <c r="A166" s="38"/>
      <c r="B166" s="20" t="s">
        <v>403</v>
      </c>
      <c r="C166" s="21" t="s">
        <v>277</v>
      </c>
      <c r="D166" s="21" t="s">
        <v>117</v>
      </c>
      <c r="E166" s="22">
        <v>86</v>
      </c>
      <c r="F166" s="22">
        <v>2</v>
      </c>
      <c r="G166" s="21" t="s">
        <v>118</v>
      </c>
      <c r="H166" s="22">
        <v>8</v>
      </c>
      <c r="I166" s="19"/>
      <c r="J166" s="4" t="str">
        <f t="shared" ref="J166:J192" si="6">"AZ" &amp; TEXT(E166, "000")</f>
        <v>AZ086</v>
      </c>
      <c r="K166" s="6" t="str">
        <f>IFERROR(VLOOKUP(J166,'Inadimplencia - FEV 2025'!$A$5:$E$85,4,0),"0")</f>
        <v>0</v>
      </c>
      <c r="L166" s="6" t="str">
        <f>IFERROR(VLOOKUP(J166,'Inadimplencia - Out 2025'!$A$5:$E$85,4,0),"0")</f>
        <v>0</v>
      </c>
      <c r="M166" s="31">
        <f t="shared" si="5"/>
        <v>0</v>
      </c>
      <c r="N166" s="5"/>
    </row>
    <row r="167" spans="1:14" x14ac:dyDescent="0.25">
      <c r="A167" s="38"/>
      <c r="B167" s="20" t="s">
        <v>405</v>
      </c>
      <c r="C167" s="17" t="s">
        <v>281</v>
      </c>
      <c r="D167" s="17" t="s">
        <v>117</v>
      </c>
      <c r="E167" s="18">
        <v>88</v>
      </c>
      <c r="F167" s="18">
        <v>2</v>
      </c>
      <c r="G167" s="17" t="s">
        <v>118</v>
      </c>
      <c r="H167" s="18">
        <v>8</v>
      </c>
      <c r="I167" s="19"/>
      <c r="J167" s="4" t="str">
        <f t="shared" si="6"/>
        <v>AZ088</v>
      </c>
      <c r="K167" s="6" t="str">
        <f>IFERROR(VLOOKUP(J167,'Inadimplencia - FEV 2025'!$A$5:$E$85,4,0),"0")</f>
        <v>0</v>
      </c>
      <c r="L167" s="6" t="str">
        <f>IFERROR(VLOOKUP(J167,'Inadimplencia - Out 2025'!$A$5:$E$85,4,0),"0")</f>
        <v>0</v>
      </c>
      <c r="M167" s="31">
        <f t="shared" si="5"/>
        <v>0</v>
      </c>
      <c r="N167" s="5"/>
    </row>
    <row r="168" spans="1:14" ht="25.5" x14ac:dyDescent="0.25">
      <c r="A168" s="38"/>
      <c r="B168" s="20" t="s">
        <v>407</v>
      </c>
      <c r="C168" s="17" t="s">
        <v>283</v>
      </c>
      <c r="D168" s="17" t="s">
        <v>117</v>
      </c>
      <c r="E168" s="18">
        <v>89</v>
      </c>
      <c r="F168" s="18">
        <v>2</v>
      </c>
      <c r="G168" s="17" t="s">
        <v>118</v>
      </c>
      <c r="H168" s="18">
        <v>8</v>
      </c>
      <c r="I168" s="19"/>
      <c r="J168" s="4" t="str">
        <f t="shared" si="6"/>
        <v>AZ089</v>
      </c>
      <c r="K168" s="6" t="str">
        <f>IFERROR(VLOOKUP(J168,'Inadimplencia - FEV 2025'!$A$5:$E$85,4,0),"0")</f>
        <v>0</v>
      </c>
      <c r="L168" s="6" t="str">
        <f>IFERROR(VLOOKUP(J168,'Inadimplencia - Out 2025'!$A$5:$E$85,4,0),"0")</f>
        <v>0</v>
      </c>
      <c r="M168" s="31">
        <f t="shared" si="5"/>
        <v>0</v>
      </c>
      <c r="N168" s="5"/>
    </row>
    <row r="169" spans="1:14" x14ac:dyDescent="0.25">
      <c r="A169" s="38"/>
      <c r="B169" s="20" t="s">
        <v>409</v>
      </c>
      <c r="C169" s="21" t="s">
        <v>285</v>
      </c>
      <c r="D169" s="21" t="s">
        <v>117</v>
      </c>
      <c r="E169" s="22">
        <v>90</v>
      </c>
      <c r="F169" s="22">
        <v>2</v>
      </c>
      <c r="G169" s="21" t="s">
        <v>118</v>
      </c>
      <c r="H169" s="22">
        <v>8</v>
      </c>
      <c r="I169" s="19"/>
      <c r="J169" s="4" t="str">
        <f t="shared" si="6"/>
        <v>AZ090</v>
      </c>
      <c r="K169" s="6" t="str">
        <f>IFERROR(VLOOKUP(J169,'Inadimplencia - FEV 2025'!$A$5:$E$85,4,0),"0")</f>
        <v>0</v>
      </c>
      <c r="L169" s="6" t="str">
        <f>IFERROR(VLOOKUP(J169,'Inadimplencia - Out 2025'!$A$5:$E$85,4,0),"0")</f>
        <v>0</v>
      </c>
      <c r="M169" s="31">
        <f t="shared" si="5"/>
        <v>0</v>
      </c>
      <c r="N169" s="5"/>
    </row>
    <row r="170" spans="1:14" ht="25.5" x14ac:dyDescent="0.25">
      <c r="A170" s="38"/>
      <c r="B170" s="20" t="s">
        <v>411</v>
      </c>
      <c r="C170" s="21" t="s">
        <v>287</v>
      </c>
      <c r="D170" s="21" t="s">
        <v>117</v>
      </c>
      <c r="E170" s="22">
        <v>91</v>
      </c>
      <c r="F170" s="22">
        <v>2</v>
      </c>
      <c r="G170" s="21" t="s">
        <v>118</v>
      </c>
      <c r="H170" s="22">
        <v>8</v>
      </c>
      <c r="I170" s="19"/>
      <c r="J170" s="4" t="str">
        <f t="shared" si="6"/>
        <v>AZ091</v>
      </c>
      <c r="K170" s="6" t="str">
        <f>IFERROR(VLOOKUP(J170,'Inadimplencia - FEV 2025'!$A$5:$E$85,4,0),"0")</f>
        <v>0</v>
      </c>
      <c r="L170" s="6" t="str">
        <f>IFERROR(VLOOKUP(J170,'Inadimplencia - Out 2025'!$A$5:$E$85,4,0),"0")</f>
        <v>0</v>
      </c>
      <c r="M170" s="31">
        <f t="shared" si="5"/>
        <v>0</v>
      </c>
      <c r="N170" s="5"/>
    </row>
    <row r="171" spans="1:14" x14ac:dyDescent="0.25">
      <c r="A171" s="38"/>
      <c r="B171" s="20" t="s">
        <v>413</v>
      </c>
      <c r="C171" s="17" t="s">
        <v>289</v>
      </c>
      <c r="D171" s="17" t="s">
        <v>117</v>
      </c>
      <c r="E171" s="18">
        <v>92</v>
      </c>
      <c r="F171" s="18">
        <v>2</v>
      </c>
      <c r="G171" s="17" t="s">
        <v>118</v>
      </c>
      <c r="H171" s="18">
        <v>8</v>
      </c>
      <c r="I171" s="19"/>
      <c r="J171" s="4" t="str">
        <f t="shared" si="6"/>
        <v>AZ092</v>
      </c>
      <c r="K171" s="6" t="str">
        <f>IFERROR(VLOOKUP(J171,'Inadimplencia - FEV 2025'!$A$5:$E$85,4,0),"0")</f>
        <v>0</v>
      </c>
      <c r="L171" s="6" t="str">
        <f>IFERROR(VLOOKUP(J171,'Inadimplencia - Out 2025'!$A$5:$E$85,4,0),"0")</f>
        <v>0</v>
      </c>
      <c r="M171" s="31">
        <f t="shared" si="5"/>
        <v>0</v>
      </c>
      <c r="N171" s="5"/>
    </row>
    <row r="172" spans="1:14" x14ac:dyDescent="0.25">
      <c r="A172" s="38"/>
      <c r="B172" s="16" t="s">
        <v>415</v>
      </c>
      <c r="C172" s="21" t="s">
        <v>293</v>
      </c>
      <c r="D172" s="21" t="s">
        <v>117</v>
      </c>
      <c r="E172" s="22">
        <v>94</v>
      </c>
      <c r="F172" s="22">
        <v>2</v>
      </c>
      <c r="G172" s="21" t="s">
        <v>118</v>
      </c>
      <c r="H172" s="22">
        <v>8</v>
      </c>
      <c r="I172" s="19"/>
      <c r="J172" s="4" t="str">
        <f t="shared" si="6"/>
        <v>AZ094</v>
      </c>
      <c r="K172" s="6" t="str">
        <f>IFERROR(VLOOKUP(J172,'Inadimplencia - FEV 2025'!$A$5:$E$85,4,0),"0")</f>
        <v>0</v>
      </c>
      <c r="L172" s="6" t="str">
        <f>IFERROR(VLOOKUP(J172,'Inadimplencia - Out 2025'!$A$5:$E$85,4,0),"0")</f>
        <v>0</v>
      </c>
      <c r="M172" s="31">
        <f t="shared" si="5"/>
        <v>0</v>
      </c>
      <c r="N172" s="5"/>
    </row>
    <row r="173" spans="1:14" x14ac:dyDescent="0.25">
      <c r="A173" s="38"/>
      <c r="B173" s="16" t="s">
        <v>417</v>
      </c>
      <c r="C173" s="17" t="s">
        <v>295</v>
      </c>
      <c r="D173" s="17" t="s">
        <v>117</v>
      </c>
      <c r="E173" s="18">
        <v>95</v>
      </c>
      <c r="F173" s="18">
        <v>2</v>
      </c>
      <c r="G173" s="17" t="s">
        <v>118</v>
      </c>
      <c r="H173" s="18">
        <v>8</v>
      </c>
      <c r="I173" s="19"/>
      <c r="J173" s="4" t="str">
        <f t="shared" si="6"/>
        <v>AZ095</v>
      </c>
      <c r="K173" s="6" t="str">
        <f>IFERROR(VLOOKUP(J173,'Inadimplencia - FEV 2025'!$A$5:$E$85,4,0),"0")</f>
        <v>0</v>
      </c>
      <c r="L173" s="6" t="str">
        <f>IFERROR(VLOOKUP(J173,'Inadimplencia - Out 2025'!$A$5:$E$85,4,0),"0")</f>
        <v>0</v>
      </c>
      <c r="M173" s="31">
        <f t="shared" si="5"/>
        <v>0</v>
      </c>
      <c r="N173" s="5"/>
    </row>
    <row r="174" spans="1:14" x14ac:dyDescent="0.25">
      <c r="A174" s="38"/>
      <c r="B174" s="16" t="s">
        <v>419</v>
      </c>
      <c r="C174" s="17" t="s">
        <v>297</v>
      </c>
      <c r="D174" s="17" t="s">
        <v>117</v>
      </c>
      <c r="E174" s="18">
        <v>96</v>
      </c>
      <c r="F174" s="18">
        <v>2</v>
      </c>
      <c r="G174" s="17" t="s">
        <v>118</v>
      </c>
      <c r="H174" s="18">
        <v>8</v>
      </c>
      <c r="I174" s="19"/>
      <c r="J174" s="4" t="str">
        <f t="shared" si="6"/>
        <v>AZ096</v>
      </c>
      <c r="K174" s="6" t="str">
        <f>IFERROR(VLOOKUP(J174,'Inadimplencia - FEV 2025'!$A$5:$E$85,4,0),"0")</f>
        <v>0</v>
      </c>
      <c r="L174" s="6" t="str">
        <f>IFERROR(VLOOKUP(J174,'Inadimplencia - Out 2025'!$A$5:$E$85,4,0),"0")</f>
        <v>0</v>
      </c>
      <c r="M174" s="31">
        <f t="shared" si="5"/>
        <v>0</v>
      </c>
      <c r="N174" s="5"/>
    </row>
    <row r="175" spans="1:14" x14ac:dyDescent="0.25">
      <c r="A175" s="38"/>
      <c r="B175" s="20" t="s">
        <v>421</v>
      </c>
      <c r="C175" s="21" t="s">
        <v>299</v>
      </c>
      <c r="D175" s="21" t="s">
        <v>117</v>
      </c>
      <c r="E175" s="22">
        <v>97</v>
      </c>
      <c r="F175" s="22">
        <v>2</v>
      </c>
      <c r="G175" s="21" t="s">
        <v>118</v>
      </c>
      <c r="H175" s="22">
        <v>8</v>
      </c>
      <c r="I175" s="19"/>
      <c r="J175" s="4" t="str">
        <f t="shared" si="6"/>
        <v>AZ097</v>
      </c>
      <c r="K175" s="6" t="str">
        <f>IFERROR(VLOOKUP(J175,'Inadimplencia - FEV 2025'!$A$5:$E$85,4,0),"0")</f>
        <v>0</v>
      </c>
      <c r="L175" s="6" t="str">
        <f>IFERROR(VLOOKUP(J175,'Inadimplencia - Out 2025'!$A$5:$E$85,4,0),"0")</f>
        <v>0</v>
      </c>
      <c r="M175" s="31">
        <f t="shared" si="5"/>
        <v>0</v>
      </c>
      <c r="N175" s="5"/>
    </row>
    <row r="176" spans="1:14" x14ac:dyDescent="0.25">
      <c r="A176" s="38"/>
      <c r="B176" s="16" t="s">
        <v>423</v>
      </c>
      <c r="C176" s="21" t="s">
        <v>265</v>
      </c>
      <c r="D176" s="21" t="s">
        <v>117</v>
      </c>
      <c r="E176" s="22">
        <v>98</v>
      </c>
      <c r="F176" s="22">
        <v>2</v>
      </c>
      <c r="G176" s="21" t="s">
        <v>133</v>
      </c>
      <c r="H176" s="22">
        <v>8</v>
      </c>
      <c r="I176" s="19"/>
      <c r="J176" s="4" t="str">
        <f t="shared" si="6"/>
        <v>AZ098</v>
      </c>
      <c r="K176" s="6" t="str">
        <f>IFERROR(VLOOKUP(J176,'Inadimplencia - FEV 2025'!$A$5:$E$85,4,0),"0")</f>
        <v>0</v>
      </c>
      <c r="L176" s="6" t="str">
        <f>IFERROR(VLOOKUP(J176,'Inadimplencia - Out 2025'!$A$5:$E$85,4,0),"0")</f>
        <v>0</v>
      </c>
      <c r="M176" s="31">
        <f t="shared" si="5"/>
        <v>0</v>
      </c>
      <c r="N176" s="5"/>
    </row>
    <row r="177" spans="1:14" x14ac:dyDescent="0.25">
      <c r="A177" s="38"/>
      <c r="B177" s="20" t="s">
        <v>425</v>
      </c>
      <c r="C177" s="17" t="s">
        <v>301</v>
      </c>
      <c r="D177" s="17" t="s">
        <v>117</v>
      </c>
      <c r="E177" s="18">
        <v>99</v>
      </c>
      <c r="F177" s="18">
        <v>2</v>
      </c>
      <c r="G177" s="17" t="s">
        <v>118</v>
      </c>
      <c r="H177" s="18">
        <v>8</v>
      </c>
      <c r="I177" s="19"/>
      <c r="J177" s="4" t="str">
        <f t="shared" si="6"/>
        <v>AZ099</v>
      </c>
      <c r="K177" s="6" t="str">
        <f>IFERROR(VLOOKUP(J177,'Inadimplencia - FEV 2025'!$A$5:$E$85,4,0),"0")</f>
        <v>0</v>
      </c>
      <c r="L177" s="6" t="str">
        <f>IFERROR(VLOOKUP(J177,'Inadimplencia - Out 2025'!$A$5:$E$85,4,0),"0")</f>
        <v>0</v>
      </c>
      <c r="M177" s="31">
        <f t="shared" si="5"/>
        <v>0</v>
      </c>
      <c r="N177" s="5"/>
    </row>
    <row r="178" spans="1:14" x14ac:dyDescent="0.25">
      <c r="A178" s="38"/>
      <c r="B178" s="16" t="s">
        <v>427</v>
      </c>
      <c r="C178" s="21" t="s">
        <v>303</v>
      </c>
      <c r="D178" s="21" t="s">
        <v>117</v>
      </c>
      <c r="E178" s="22">
        <v>100</v>
      </c>
      <c r="F178" s="22">
        <v>2</v>
      </c>
      <c r="G178" s="21" t="s">
        <v>118</v>
      </c>
      <c r="H178" s="22">
        <v>8</v>
      </c>
      <c r="I178" s="19"/>
      <c r="J178" s="4" t="str">
        <f t="shared" si="6"/>
        <v>AZ100</v>
      </c>
      <c r="K178" s="6" t="str">
        <f>IFERROR(VLOOKUP(J178,'Inadimplencia - FEV 2025'!$A$5:$E$85,4,0),"0")</f>
        <v>0</v>
      </c>
      <c r="L178" s="6" t="str">
        <f>IFERROR(VLOOKUP(J178,'Inadimplencia - Out 2025'!$A$5:$E$85,4,0),"0")</f>
        <v>0</v>
      </c>
      <c r="M178" s="31">
        <f t="shared" si="5"/>
        <v>0</v>
      </c>
      <c r="N178" s="5"/>
    </row>
    <row r="179" spans="1:14" x14ac:dyDescent="0.25">
      <c r="A179" s="38"/>
      <c r="B179" s="20" t="s">
        <v>429</v>
      </c>
      <c r="C179" s="21" t="s">
        <v>305</v>
      </c>
      <c r="D179" s="21" t="s">
        <v>117</v>
      </c>
      <c r="E179" s="22">
        <v>101</v>
      </c>
      <c r="F179" s="22">
        <v>2</v>
      </c>
      <c r="G179" s="21" t="s">
        <v>118</v>
      </c>
      <c r="H179" s="22">
        <v>8</v>
      </c>
      <c r="I179" s="19"/>
      <c r="J179" s="4" t="str">
        <f t="shared" si="6"/>
        <v>AZ101</v>
      </c>
      <c r="K179" s="6" t="str">
        <f>IFERROR(VLOOKUP(J179,'Inadimplencia - FEV 2025'!$A$5:$E$85,4,0),"0")</f>
        <v>0</v>
      </c>
      <c r="L179" s="6" t="str">
        <f>IFERROR(VLOOKUP(J179,'Inadimplencia - Out 2025'!$A$5:$E$85,4,0),"0")</f>
        <v>0</v>
      </c>
      <c r="M179" s="31">
        <f t="shared" si="5"/>
        <v>0</v>
      </c>
      <c r="N179" s="5"/>
    </row>
    <row r="180" spans="1:14" x14ac:dyDescent="0.25">
      <c r="A180" s="38"/>
      <c r="B180" s="16" t="s">
        <v>431</v>
      </c>
      <c r="C180" s="21" t="s">
        <v>307</v>
      </c>
      <c r="D180" s="21" t="s">
        <v>117</v>
      </c>
      <c r="E180" s="22">
        <v>102</v>
      </c>
      <c r="F180" s="22">
        <v>2</v>
      </c>
      <c r="G180" s="21" t="s">
        <v>133</v>
      </c>
      <c r="H180" s="22">
        <v>8</v>
      </c>
      <c r="I180" s="19"/>
      <c r="J180" s="4" t="str">
        <f t="shared" si="6"/>
        <v>AZ102</v>
      </c>
      <c r="K180" s="6" t="str">
        <f>IFERROR(VLOOKUP(J180,'Inadimplencia - FEV 2025'!$A$5:$E$85,4,0),"0")</f>
        <v>0</v>
      </c>
      <c r="L180" s="6" t="str">
        <f>IFERROR(VLOOKUP(J180,'Inadimplencia - Out 2025'!$A$5:$E$85,4,0),"0")</f>
        <v>0</v>
      </c>
      <c r="M180" s="31">
        <f t="shared" si="5"/>
        <v>0</v>
      </c>
      <c r="N180" s="5"/>
    </row>
    <row r="181" spans="1:14" x14ac:dyDescent="0.25">
      <c r="A181" s="38"/>
      <c r="B181" s="16" t="s">
        <v>313</v>
      </c>
      <c r="C181" s="21" t="s">
        <v>307</v>
      </c>
      <c r="D181" s="21" t="s">
        <v>117</v>
      </c>
      <c r="E181" s="22">
        <v>103</v>
      </c>
      <c r="F181" s="22">
        <v>2</v>
      </c>
      <c r="G181" s="21" t="s">
        <v>133</v>
      </c>
      <c r="H181" s="22">
        <v>8</v>
      </c>
      <c r="I181" s="19"/>
      <c r="J181" s="4" t="str">
        <f t="shared" si="6"/>
        <v>AZ103</v>
      </c>
      <c r="K181" s="6" t="str">
        <f>IFERROR(VLOOKUP(J181,'Inadimplencia - FEV 2025'!$A$5:$E$85,4,0),"0")</f>
        <v>0</v>
      </c>
      <c r="L181" s="6" t="str">
        <f>IFERROR(VLOOKUP(J181,'Inadimplencia - Out 2025'!$A$5:$E$85,4,0),"0")</f>
        <v>0</v>
      </c>
      <c r="M181" s="31">
        <f t="shared" si="5"/>
        <v>0</v>
      </c>
      <c r="N181" s="5"/>
    </row>
    <row r="182" spans="1:14" x14ac:dyDescent="0.25">
      <c r="A182" s="38"/>
      <c r="B182" s="16" t="s">
        <v>433</v>
      </c>
      <c r="C182" s="21" t="s">
        <v>307</v>
      </c>
      <c r="D182" s="21" t="s">
        <v>117</v>
      </c>
      <c r="E182" s="22">
        <v>104</v>
      </c>
      <c r="F182" s="22">
        <v>2</v>
      </c>
      <c r="G182" s="21" t="s">
        <v>133</v>
      </c>
      <c r="H182" s="22">
        <v>8</v>
      </c>
      <c r="I182" s="19"/>
      <c r="J182" s="4" t="str">
        <f t="shared" si="6"/>
        <v>AZ104</v>
      </c>
      <c r="K182" s="6" t="str">
        <f>IFERROR(VLOOKUP(J182,'Inadimplencia - FEV 2025'!$A$5:$E$85,4,0),"0")</f>
        <v>0</v>
      </c>
      <c r="L182" s="6" t="str">
        <f>IFERROR(VLOOKUP(J182,'Inadimplencia - Out 2025'!$A$5:$E$85,4,0),"0")</f>
        <v>0</v>
      </c>
      <c r="M182" s="31">
        <f t="shared" si="5"/>
        <v>0</v>
      </c>
      <c r="N182" s="5"/>
    </row>
    <row r="183" spans="1:14" x14ac:dyDescent="0.25">
      <c r="A183" s="38"/>
      <c r="B183" s="20" t="s">
        <v>435</v>
      </c>
      <c r="C183" s="17" t="s">
        <v>307</v>
      </c>
      <c r="D183" s="17" t="s">
        <v>117</v>
      </c>
      <c r="E183" s="18">
        <v>105</v>
      </c>
      <c r="F183" s="18">
        <v>2</v>
      </c>
      <c r="G183" s="17" t="s">
        <v>133</v>
      </c>
      <c r="H183" s="18">
        <v>8</v>
      </c>
      <c r="I183" s="19"/>
      <c r="J183" s="4" t="str">
        <f t="shared" si="6"/>
        <v>AZ105</v>
      </c>
      <c r="K183" s="6" t="str">
        <f>IFERROR(VLOOKUP(J183,'Inadimplencia - FEV 2025'!$A$5:$E$85,4,0),"0")</f>
        <v>0</v>
      </c>
      <c r="L183" s="6" t="str">
        <f>IFERROR(VLOOKUP(J183,'Inadimplencia - Out 2025'!$A$5:$E$85,4,0),"0")</f>
        <v>0</v>
      </c>
      <c r="M183" s="31">
        <f t="shared" si="5"/>
        <v>0</v>
      </c>
      <c r="N183" s="5"/>
    </row>
    <row r="184" spans="1:14" x14ac:dyDescent="0.25">
      <c r="A184" s="38"/>
      <c r="B184" s="16" t="s">
        <v>409</v>
      </c>
      <c r="C184" s="17" t="s">
        <v>307</v>
      </c>
      <c r="D184" s="17" t="s">
        <v>117</v>
      </c>
      <c r="E184" s="18">
        <v>106</v>
      </c>
      <c r="F184" s="18">
        <v>2</v>
      </c>
      <c r="G184" s="17" t="s">
        <v>133</v>
      </c>
      <c r="H184" s="18">
        <v>8</v>
      </c>
      <c r="I184" s="19"/>
      <c r="J184" s="4" t="str">
        <f t="shared" si="6"/>
        <v>AZ106</v>
      </c>
      <c r="K184" s="6" t="str">
        <f>IFERROR(VLOOKUP(J184,'Inadimplencia - FEV 2025'!$A$5:$E$85,4,0),"0")</f>
        <v>0</v>
      </c>
      <c r="L184" s="6" t="str">
        <f>IFERROR(VLOOKUP(J184,'Inadimplencia - Out 2025'!$A$5:$E$85,4,0),"0")</f>
        <v>0</v>
      </c>
      <c r="M184" s="31">
        <f t="shared" si="5"/>
        <v>0</v>
      </c>
      <c r="N184" s="5"/>
    </row>
    <row r="185" spans="1:14" x14ac:dyDescent="0.25">
      <c r="A185" s="38"/>
      <c r="B185" s="16" t="s">
        <v>437</v>
      </c>
      <c r="C185" s="17" t="s">
        <v>307</v>
      </c>
      <c r="D185" s="17" t="s">
        <v>117</v>
      </c>
      <c r="E185" s="18">
        <v>107</v>
      </c>
      <c r="F185" s="18">
        <v>2</v>
      </c>
      <c r="G185" s="17" t="s">
        <v>133</v>
      </c>
      <c r="H185" s="18">
        <v>8</v>
      </c>
      <c r="I185" s="19"/>
      <c r="J185" s="4" t="str">
        <f t="shared" si="6"/>
        <v>AZ107</v>
      </c>
      <c r="K185" s="6" t="str">
        <f>IFERROR(VLOOKUP(J185,'Inadimplencia - FEV 2025'!$A$5:$E$85,4,0),"0")</f>
        <v>0</v>
      </c>
      <c r="L185" s="6" t="str">
        <f>IFERROR(VLOOKUP(J185,'Inadimplencia - Out 2025'!$A$5:$E$85,4,0),"0")</f>
        <v>0</v>
      </c>
      <c r="M185" s="31">
        <f t="shared" si="5"/>
        <v>0</v>
      </c>
      <c r="N185" s="5"/>
    </row>
    <row r="186" spans="1:14" x14ac:dyDescent="0.25">
      <c r="A186" s="38"/>
      <c r="B186" s="20" t="s">
        <v>439</v>
      </c>
      <c r="C186" s="21" t="s">
        <v>307</v>
      </c>
      <c r="D186" s="21" t="s">
        <v>117</v>
      </c>
      <c r="E186" s="22">
        <v>108</v>
      </c>
      <c r="F186" s="22">
        <v>2</v>
      </c>
      <c r="G186" s="21" t="s">
        <v>133</v>
      </c>
      <c r="H186" s="22">
        <v>8</v>
      </c>
      <c r="I186" s="19"/>
      <c r="J186" s="4" t="str">
        <f t="shared" si="6"/>
        <v>AZ108</v>
      </c>
      <c r="K186" s="6" t="str">
        <f>IFERROR(VLOOKUP(J186,'Inadimplencia - FEV 2025'!$A$5:$E$85,4,0),"0")</f>
        <v>0</v>
      </c>
      <c r="L186" s="6" t="str">
        <f>IFERROR(VLOOKUP(J186,'Inadimplencia - Out 2025'!$A$5:$E$85,4,0),"0")</f>
        <v>0</v>
      </c>
      <c r="M186" s="31">
        <f t="shared" si="5"/>
        <v>0</v>
      </c>
      <c r="N186" s="5"/>
    </row>
    <row r="187" spans="1:14" x14ac:dyDescent="0.25">
      <c r="A187" s="38"/>
      <c r="B187" s="20" t="s">
        <v>313</v>
      </c>
      <c r="C187" s="21" t="s">
        <v>307</v>
      </c>
      <c r="D187" s="21" t="s">
        <v>117</v>
      </c>
      <c r="E187" s="22">
        <v>109</v>
      </c>
      <c r="F187" s="22">
        <v>2</v>
      </c>
      <c r="G187" s="21" t="s">
        <v>133</v>
      </c>
      <c r="H187" s="22">
        <v>8</v>
      </c>
      <c r="I187" s="19"/>
      <c r="J187" s="4" t="str">
        <f t="shared" si="6"/>
        <v>AZ109</v>
      </c>
      <c r="K187" s="6" t="str">
        <f>IFERROR(VLOOKUP(J187,'Inadimplencia - FEV 2025'!$A$5:$E$85,4,0),"0")</f>
        <v>0</v>
      </c>
      <c r="L187" s="6" t="str">
        <f>IFERROR(VLOOKUP(J187,'Inadimplencia - Out 2025'!$A$5:$E$85,4,0),"0")</f>
        <v>0</v>
      </c>
      <c r="M187" s="31">
        <f t="shared" si="5"/>
        <v>0</v>
      </c>
      <c r="N187" s="5"/>
    </row>
    <row r="188" spans="1:14" x14ac:dyDescent="0.25">
      <c r="A188" s="38"/>
      <c r="B188" s="16" t="s">
        <v>441</v>
      </c>
      <c r="C188" s="21" t="s">
        <v>307</v>
      </c>
      <c r="D188" s="21" t="s">
        <v>117</v>
      </c>
      <c r="E188" s="22">
        <v>110</v>
      </c>
      <c r="F188" s="22">
        <v>2</v>
      </c>
      <c r="G188" s="21" t="s">
        <v>133</v>
      </c>
      <c r="H188" s="22">
        <v>8</v>
      </c>
      <c r="I188" s="19"/>
      <c r="J188" s="4" t="str">
        <f t="shared" si="6"/>
        <v>AZ110</v>
      </c>
      <c r="K188" s="6" t="str">
        <f>IFERROR(VLOOKUP(J188,'Inadimplencia - FEV 2025'!$A$5:$E$85,4,0),"0")</f>
        <v>0</v>
      </c>
      <c r="L188" s="6" t="str">
        <f>IFERROR(VLOOKUP(J188,'Inadimplencia - Out 2025'!$A$5:$E$85,4,0),"0")</f>
        <v>0</v>
      </c>
      <c r="M188" s="31">
        <f t="shared" si="5"/>
        <v>0</v>
      </c>
      <c r="N188" s="5"/>
    </row>
    <row r="189" spans="1:14" x14ac:dyDescent="0.25">
      <c r="A189" s="38"/>
      <c r="B189" s="20" t="s">
        <v>443</v>
      </c>
      <c r="C189" s="17" t="s">
        <v>307</v>
      </c>
      <c r="D189" s="17" t="s">
        <v>117</v>
      </c>
      <c r="E189" s="18">
        <v>111</v>
      </c>
      <c r="F189" s="18">
        <v>2</v>
      </c>
      <c r="G189" s="17" t="s">
        <v>133</v>
      </c>
      <c r="H189" s="18">
        <v>8</v>
      </c>
      <c r="I189" s="19"/>
      <c r="J189" s="4" t="str">
        <f t="shared" si="6"/>
        <v>AZ111</v>
      </c>
      <c r="K189" s="6" t="str">
        <f>IFERROR(VLOOKUP(J189,'Inadimplencia - FEV 2025'!$A$5:$E$85,4,0),"0")</f>
        <v>0</v>
      </c>
      <c r="L189" s="6" t="str">
        <f>IFERROR(VLOOKUP(J189,'Inadimplencia - Out 2025'!$A$5:$E$85,4,0),"0")</f>
        <v>0</v>
      </c>
      <c r="M189" s="31">
        <f t="shared" si="5"/>
        <v>0</v>
      </c>
      <c r="N189" s="5"/>
    </row>
    <row r="190" spans="1:14" x14ac:dyDescent="0.25">
      <c r="A190" s="38"/>
      <c r="B190" s="16" t="s">
        <v>445</v>
      </c>
      <c r="C190" s="17" t="s">
        <v>307</v>
      </c>
      <c r="D190" s="17" t="s">
        <v>117</v>
      </c>
      <c r="E190" s="18">
        <v>112</v>
      </c>
      <c r="F190" s="18">
        <v>2</v>
      </c>
      <c r="G190" s="17" t="s">
        <v>133</v>
      </c>
      <c r="H190" s="18">
        <v>8</v>
      </c>
      <c r="I190" s="19"/>
      <c r="J190" s="4" t="str">
        <f t="shared" si="6"/>
        <v>AZ112</v>
      </c>
      <c r="K190" s="6" t="str">
        <f>IFERROR(VLOOKUP(J190,'Inadimplencia - FEV 2025'!$A$5:$E$85,4,0),"0")</f>
        <v>0</v>
      </c>
      <c r="L190" s="6" t="str">
        <f>IFERROR(VLOOKUP(J190,'Inadimplencia - Out 2025'!$A$5:$E$85,4,0),"0")</f>
        <v>0</v>
      </c>
      <c r="M190" s="31">
        <f t="shared" si="5"/>
        <v>0</v>
      </c>
      <c r="N190" s="5"/>
    </row>
    <row r="191" spans="1:14" x14ac:dyDescent="0.25">
      <c r="A191" s="38"/>
      <c r="B191" s="16" t="s">
        <v>447</v>
      </c>
      <c r="C191" s="17" t="s">
        <v>307</v>
      </c>
      <c r="D191" s="17" t="s">
        <v>117</v>
      </c>
      <c r="E191" s="18">
        <v>113</v>
      </c>
      <c r="F191" s="18">
        <v>2</v>
      </c>
      <c r="G191" s="17" t="s">
        <v>133</v>
      </c>
      <c r="H191" s="18">
        <v>8</v>
      </c>
      <c r="I191" s="19"/>
      <c r="J191" s="4" t="str">
        <f t="shared" si="6"/>
        <v>AZ113</v>
      </c>
      <c r="K191" s="6" t="str">
        <f>IFERROR(VLOOKUP(J191,'Inadimplencia - FEV 2025'!$A$5:$E$85,4,0),"0")</f>
        <v>0</v>
      </c>
      <c r="L191" s="6" t="str">
        <f>IFERROR(VLOOKUP(J191,'Inadimplencia - Out 2025'!$A$5:$E$85,4,0),"0")</f>
        <v>0</v>
      </c>
      <c r="M191" s="31">
        <f t="shared" si="5"/>
        <v>0</v>
      </c>
      <c r="N191" s="5"/>
    </row>
    <row r="192" spans="1:14" x14ac:dyDescent="0.25">
      <c r="A192" s="38"/>
      <c r="B192" s="20" t="s">
        <v>449</v>
      </c>
      <c r="C192" s="17" t="s">
        <v>307</v>
      </c>
      <c r="D192" s="17" t="s">
        <v>117</v>
      </c>
      <c r="E192" s="18">
        <v>114</v>
      </c>
      <c r="F192" s="18">
        <v>2</v>
      </c>
      <c r="G192" s="17" t="s">
        <v>133</v>
      </c>
      <c r="H192" s="18">
        <v>8</v>
      </c>
      <c r="I192" s="19"/>
      <c r="J192" s="4" t="str">
        <f t="shared" si="6"/>
        <v>AZ114</v>
      </c>
      <c r="K192" s="6" t="str">
        <f>IFERROR(VLOOKUP(J192,'Inadimplencia - FEV 2025'!$A$5:$E$85,4,0),"0")</f>
        <v>0</v>
      </c>
      <c r="L192" s="6" t="str">
        <f>IFERROR(VLOOKUP(J192,'Inadimplencia - Out 2025'!$A$5:$E$85,4,0),"0")</f>
        <v>0</v>
      </c>
      <c r="M192" s="31">
        <f t="shared" si="5"/>
        <v>0</v>
      </c>
      <c r="N192" s="5"/>
    </row>
    <row r="193" spans="1:14" x14ac:dyDescent="0.25">
      <c r="A193" s="38"/>
      <c r="B193" s="20" t="s">
        <v>451</v>
      </c>
      <c r="C193" s="21" t="s">
        <v>309</v>
      </c>
      <c r="D193" s="21" t="s">
        <v>310</v>
      </c>
      <c r="E193" s="22">
        <v>1</v>
      </c>
      <c r="F193" s="22">
        <v>2</v>
      </c>
      <c r="G193" s="21" t="s">
        <v>118</v>
      </c>
      <c r="H193" s="22">
        <v>8</v>
      </c>
      <c r="I193" s="19"/>
      <c r="J193" s="4" t="str">
        <f t="shared" ref="J193:J224" si="7">"BO" &amp; TEXT(E193, "000")</f>
        <v>BO001</v>
      </c>
      <c r="K193" s="6" t="str">
        <f>IFERROR(VLOOKUP(J193,'Inadimplencia - FEV 2025'!$A$5:$E$85,4,0),"0")</f>
        <v>0</v>
      </c>
      <c r="L193" s="6" t="str">
        <f>IFERROR(VLOOKUP(J193,'Inadimplencia - Out 2025'!$A$5:$E$85,4,0),"0")</f>
        <v>0</v>
      </c>
      <c r="M193" s="31">
        <f t="shared" si="5"/>
        <v>0</v>
      </c>
      <c r="N193" s="5"/>
    </row>
    <row r="194" spans="1:14" x14ac:dyDescent="0.25">
      <c r="A194" s="38"/>
      <c r="B194" s="20" t="s">
        <v>453</v>
      </c>
      <c r="C194" s="17" t="s">
        <v>312</v>
      </c>
      <c r="D194" s="17" t="s">
        <v>310</v>
      </c>
      <c r="E194" s="18">
        <v>2</v>
      </c>
      <c r="F194" s="18">
        <v>2</v>
      </c>
      <c r="G194" s="17" t="s">
        <v>118</v>
      </c>
      <c r="H194" s="18">
        <v>8</v>
      </c>
      <c r="I194" s="19"/>
      <c r="J194" s="4" t="str">
        <f t="shared" si="7"/>
        <v>BO002</v>
      </c>
      <c r="K194" s="6" t="str">
        <f>IFERROR(VLOOKUP(J194,'Inadimplencia - FEV 2025'!$A$5:$E$85,4,0),"0")</f>
        <v>0</v>
      </c>
      <c r="L194" s="6" t="str">
        <f>IFERROR(VLOOKUP(J194,'Inadimplencia - Out 2025'!$A$5:$E$85,4,0),"0")</f>
        <v>0</v>
      </c>
      <c r="M194" s="31">
        <f t="shared" si="5"/>
        <v>0</v>
      </c>
      <c r="N194" s="5"/>
    </row>
    <row r="195" spans="1:14" x14ac:dyDescent="0.25">
      <c r="A195" s="38"/>
      <c r="B195" s="20" t="s">
        <v>455</v>
      </c>
      <c r="C195" s="21" t="s">
        <v>314</v>
      </c>
      <c r="D195" s="21" t="s">
        <v>310</v>
      </c>
      <c r="E195" s="22">
        <v>3</v>
      </c>
      <c r="F195" s="22">
        <v>2</v>
      </c>
      <c r="G195" s="21" t="s">
        <v>118</v>
      </c>
      <c r="H195" s="22">
        <v>8</v>
      </c>
      <c r="I195" s="19"/>
      <c r="J195" s="4" t="str">
        <f t="shared" si="7"/>
        <v>BO003</v>
      </c>
      <c r="K195" s="6" t="str">
        <f>IFERROR(VLOOKUP(J195,'Inadimplencia - FEV 2025'!$A$5:$E$85,4,0),"0")</f>
        <v>0</v>
      </c>
      <c r="L195" s="6" t="str">
        <f>IFERROR(VLOOKUP(J195,'Inadimplencia - Out 2025'!$A$5:$E$85,4,0),"0")</f>
        <v>0</v>
      </c>
      <c r="M195" s="31">
        <f t="shared" si="5"/>
        <v>0</v>
      </c>
      <c r="N195" s="5"/>
    </row>
    <row r="196" spans="1:14" x14ac:dyDescent="0.25">
      <c r="A196" s="38"/>
      <c r="B196" s="20" t="s">
        <v>457</v>
      </c>
      <c r="C196" s="21" t="s">
        <v>316</v>
      </c>
      <c r="D196" s="21" t="s">
        <v>310</v>
      </c>
      <c r="E196" s="22">
        <v>4</v>
      </c>
      <c r="F196" s="22">
        <v>2</v>
      </c>
      <c r="G196" s="21" t="s">
        <v>118</v>
      </c>
      <c r="H196" s="22">
        <v>8</v>
      </c>
      <c r="I196" s="19"/>
      <c r="J196" s="4" t="str">
        <f t="shared" si="7"/>
        <v>BO004</v>
      </c>
      <c r="K196" s="6" t="str">
        <f>IFERROR(VLOOKUP(J196,'Inadimplencia - FEV 2025'!$A$5:$E$85,4,0),"0")</f>
        <v>0</v>
      </c>
      <c r="L196" s="6" t="str">
        <f>IFERROR(VLOOKUP(J196,'Inadimplencia - Out 2025'!$A$5:$E$85,4,0),"0")</f>
        <v>0</v>
      </c>
      <c r="M196" s="31">
        <f t="shared" si="5"/>
        <v>0</v>
      </c>
      <c r="N196" s="5"/>
    </row>
    <row r="197" spans="1:14" x14ac:dyDescent="0.25">
      <c r="A197" s="38"/>
      <c r="B197" s="16" t="s">
        <v>459</v>
      </c>
      <c r="C197" s="17" t="s">
        <v>318</v>
      </c>
      <c r="D197" s="17" t="s">
        <v>310</v>
      </c>
      <c r="E197" s="18">
        <v>7</v>
      </c>
      <c r="F197" s="18">
        <v>2</v>
      </c>
      <c r="G197" s="17" t="s">
        <v>118</v>
      </c>
      <c r="H197" s="18">
        <v>8</v>
      </c>
      <c r="I197" s="19"/>
      <c r="J197" s="4" t="str">
        <f t="shared" si="7"/>
        <v>BO007</v>
      </c>
      <c r="K197" s="6" t="str">
        <f>IFERROR(VLOOKUP(J197,'Inadimplencia - FEV 2025'!$A$5:$E$85,4,0),"0")</f>
        <v>0</v>
      </c>
      <c r="L197" s="6" t="str">
        <f>IFERROR(VLOOKUP(J197,'Inadimplencia - Out 2025'!$A$5:$E$85,4,0),"0")</f>
        <v>0</v>
      </c>
      <c r="M197" s="31">
        <f t="shared" si="5"/>
        <v>0</v>
      </c>
      <c r="N197" s="5"/>
    </row>
    <row r="198" spans="1:14" x14ac:dyDescent="0.25">
      <c r="A198" s="38"/>
      <c r="B198" s="20" t="s">
        <v>461</v>
      </c>
      <c r="C198" s="17" t="s">
        <v>320</v>
      </c>
      <c r="D198" s="17" t="s">
        <v>310</v>
      </c>
      <c r="E198" s="18">
        <v>8</v>
      </c>
      <c r="F198" s="18">
        <v>2</v>
      </c>
      <c r="G198" s="17" t="s">
        <v>118</v>
      </c>
      <c r="H198" s="18">
        <v>8</v>
      </c>
      <c r="I198" s="19"/>
      <c r="J198" s="4" t="str">
        <f t="shared" si="7"/>
        <v>BO008</v>
      </c>
      <c r="K198" s="6" t="str">
        <f>IFERROR(VLOOKUP(J198,'Inadimplencia - FEV 2025'!$A$5:$E$85,4,0),"0")</f>
        <v>0</v>
      </c>
      <c r="L198" s="6" t="str">
        <f>IFERROR(VLOOKUP(J198,'Inadimplencia - Out 2025'!$A$5:$E$85,4,0),"0")</f>
        <v>0</v>
      </c>
      <c r="M198" s="31">
        <f t="shared" si="5"/>
        <v>0</v>
      </c>
      <c r="N198" s="5"/>
    </row>
    <row r="199" spans="1:14" x14ac:dyDescent="0.25">
      <c r="A199" s="38"/>
      <c r="B199" s="20" t="s">
        <v>463</v>
      </c>
      <c r="C199" s="17" t="s">
        <v>322</v>
      </c>
      <c r="D199" s="17" t="s">
        <v>310</v>
      </c>
      <c r="E199" s="18">
        <v>9</v>
      </c>
      <c r="F199" s="18">
        <v>2</v>
      </c>
      <c r="G199" s="17" t="s">
        <v>118</v>
      </c>
      <c r="H199" s="18">
        <v>8</v>
      </c>
      <c r="I199" s="19"/>
      <c r="J199" s="4" t="str">
        <f t="shared" si="7"/>
        <v>BO009</v>
      </c>
      <c r="K199" s="6" t="str">
        <f>IFERROR(VLOOKUP(J199,'Inadimplencia - FEV 2025'!$A$5:$E$85,4,0),"0")</f>
        <v>0</v>
      </c>
      <c r="L199" s="6" t="str">
        <f>IFERROR(VLOOKUP(J199,'Inadimplencia - Out 2025'!$A$5:$E$85,4,0),"0")</f>
        <v>0</v>
      </c>
      <c r="M199" s="31">
        <f t="shared" ref="M199:M262" si="8">L199-K199</f>
        <v>0</v>
      </c>
      <c r="N199" s="5"/>
    </row>
    <row r="200" spans="1:14" x14ac:dyDescent="0.25">
      <c r="A200" s="38"/>
      <c r="B200" s="16" t="s">
        <v>465</v>
      </c>
      <c r="C200" s="17" t="s">
        <v>324</v>
      </c>
      <c r="D200" s="17" t="s">
        <v>310</v>
      </c>
      <c r="E200" s="18">
        <v>10</v>
      </c>
      <c r="F200" s="18">
        <v>2</v>
      </c>
      <c r="G200" s="17" t="s">
        <v>118</v>
      </c>
      <c r="H200" s="18">
        <v>8</v>
      </c>
      <c r="I200" s="19"/>
      <c r="J200" s="4" t="str">
        <f t="shared" si="7"/>
        <v>BO010</v>
      </c>
      <c r="K200" s="6" t="str">
        <f>IFERROR(VLOOKUP(J200,'Inadimplencia - FEV 2025'!$A$5:$E$85,4,0),"0")</f>
        <v>0</v>
      </c>
      <c r="L200" s="6" t="str">
        <f>IFERROR(VLOOKUP(J200,'Inadimplencia - Out 2025'!$A$5:$E$85,4,0),"0")</f>
        <v>0</v>
      </c>
      <c r="M200" s="31">
        <f t="shared" si="8"/>
        <v>0</v>
      </c>
      <c r="N200" s="5"/>
    </row>
    <row r="201" spans="1:14" x14ac:dyDescent="0.25">
      <c r="A201" s="38"/>
      <c r="B201" s="16" t="s">
        <v>467</v>
      </c>
      <c r="C201" s="21" t="s">
        <v>326</v>
      </c>
      <c r="D201" s="21" t="s">
        <v>310</v>
      </c>
      <c r="E201" s="22">
        <v>11</v>
      </c>
      <c r="F201" s="22">
        <v>2</v>
      </c>
      <c r="G201" s="21" t="s">
        <v>118</v>
      </c>
      <c r="H201" s="22">
        <v>8</v>
      </c>
      <c r="I201" s="19"/>
      <c r="J201" s="4" t="str">
        <f t="shared" si="7"/>
        <v>BO011</v>
      </c>
      <c r="K201" s="6" t="str">
        <f>IFERROR(VLOOKUP(J201,'Inadimplencia - FEV 2025'!$A$5:$E$85,4,0),"0")</f>
        <v>0</v>
      </c>
      <c r="L201" s="6" t="str">
        <f>IFERROR(VLOOKUP(J201,'Inadimplencia - Out 2025'!$A$5:$E$85,4,0),"0")</f>
        <v>0</v>
      </c>
      <c r="M201" s="31">
        <f t="shared" si="8"/>
        <v>0</v>
      </c>
      <c r="N201" s="5"/>
    </row>
    <row r="202" spans="1:14" x14ac:dyDescent="0.25">
      <c r="A202" s="38"/>
      <c r="B202" s="16" t="s">
        <v>469</v>
      </c>
      <c r="C202" s="21" t="s">
        <v>328</v>
      </c>
      <c r="D202" s="21" t="s">
        <v>310</v>
      </c>
      <c r="E202" s="22">
        <v>12</v>
      </c>
      <c r="F202" s="22">
        <v>2</v>
      </c>
      <c r="G202" s="21" t="s">
        <v>118</v>
      </c>
      <c r="H202" s="22">
        <v>8</v>
      </c>
      <c r="I202" s="19"/>
      <c r="J202" s="4" t="str">
        <f t="shared" si="7"/>
        <v>BO012</v>
      </c>
      <c r="K202" s="6" t="str">
        <f>IFERROR(VLOOKUP(J202,'Inadimplencia - FEV 2025'!$A$5:$E$85,4,0),"0")</f>
        <v>0</v>
      </c>
      <c r="L202" s="6" t="str">
        <f>IFERROR(VLOOKUP(J202,'Inadimplencia - Out 2025'!$A$5:$E$85,4,0),"0")</f>
        <v>0</v>
      </c>
      <c r="M202" s="31">
        <f t="shared" si="8"/>
        <v>0</v>
      </c>
      <c r="N202" s="5"/>
    </row>
    <row r="203" spans="1:14" x14ac:dyDescent="0.25">
      <c r="A203" s="38"/>
      <c r="B203" s="16" t="s">
        <v>471</v>
      </c>
      <c r="C203" s="17" t="s">
        <v>330</v>
      </c>
      <c r="D203" s="17" t="s">
        <v>310</v>
      </c>
      <c r="E203" s="18">
        <v>13</v>
      </c>
      <c r="F203" s="18">
        <v>2</v>
      </c>
      <c r="G203" s="17" t="s">
        <v>118</v>
      </c>
      <c r="H203" s="18">
        <v>8</v>
      </c>
      <c r="I203" s="19"/>
      <c r="J203" s="4" t="str">
        <f t="shared" si="7"/>
        <v>BO013</v>
      </c>
      <c r="K203" s="6" t="str">
        <f>IFERROR(VLOOKUP(J203,'Inadimplencia - FEV 2025'!$A$5:$E$85,4,0),"0")</f>
        <v>0</v>
      </c>
      <c r="L203" s="6" t="str">
        <f>IFERROR(VLOOKUP(J203,'Inadimplencia - Out 2025'!$A$5:$E$85,4,0),"0")</f>
        <v>0</v>
      </c>
      <c r="M203" s="31">
        <f t="shared" si="8"/>
        <v>0</v>
      </c>
      <c r="N203" s="5"/>
    </row>
    <row r="204" spans="1:14" x14ac:dyDescent="0.25">
      <c r="A204" s="38"/>
      <c r="B204" s="16" t="s">
        <v>473</v>
      </c>
      <c r="C204" s="17" t="s">
        <v>332</v>
      </c>
      <c r="D204" s="17" t="s">
        <v>310</v>
      </c>
      <c r="E204" s="18">
        <v>14</v>
      </c>
      <c r="F204" s="18">
        <v>2</v>
      </c>
      <c r="G204" s="17" t="s">
        <v>118</v>
      </c>
      <c r="H204" s="18">
        <v>8</v>
      </c>
      <c r="I204" s="19"/>
      <c r="J204" s="4" t="str">
        <f t="shared" si="7"/>
        <v>BO014</v>
      </c>
      <c r="K204" s="6" t="str">
        <f>IFERROR(VLOOKUP(J204,'Inadimplencia - FEV 2025'!$A$5:$E$85,4,0),"0")</f>
        <v>0</v>
      </c>
      <c r="L204" s="6" t="str">
        <f>IFERROR(VLOOKUP(J204,'Inadimplencia - Out 2025'!$A$5:$E$85,4,0),"0")</f>
        <v>0</v>
      </c>
      <c r="M204" s="31">
        <f t="shared" si="8"/>
        <v>0</v>
      </c>
      <c r="N204" s="5"/>
    </row>
    <row r="205" spans="1:14" x14ac:dyDescent="0.25">
      <c r="A205" s="38"/>
      <c r="B205" s="16" t="s">
        <v>475</v>
      </c>
      <c r="C205" s="17" t="s">
        <v>334</v>
      </c>
      <c r="D205" s="17" t="s">
        <v>310</v>
      </c>
      <c r="E205" s="18">
        <v>15</v>
      </c>
      <c r="F205" s="18">
        <v>2</v>
      </c>
      <c r="G205" s="17" t="s">
        <v>118</v>
      </c>
      <c r="H205" s="18">
        <v>8</v>
      </c>
      <c r="I205" s="19"/>
      <c r="J205" s="4" t="str">
        <f t="shared" si="7"/>
        <v>BO015</v>
      </c>
      <c r="K205" s="6" t="str">
        <f>IFERROR(VLOOKUP(J205,'Inadimplencia - FEV 2025'!$A$5:$E$85,4,0),"0")</f>
        <v>0</v>
      </c>
      <c r="L205" s="6" t="str">
        <f>IFERROR(VLOOKUP(J205,'Inadimplencia - Out 2025'!$A$5:$E$85,4,0),"0")</f>
        <v>0</v>
      </c>
      <c r="M205" s="31">
        <f t="shared" si="8"/>
        <v>0</v>
      </c>
      <c r="N205" s="5"/>
    </row>
    <row r="206" spans="1:14" x14ac:dyDescent="0.25">
      <c r="A206" s="38"/>
      <c r="B206" s="20" t="s">
        <v>477</v>
      </c>
      <c r="C206" s="21" t="s">
        <v>336</v>
      </c>
      <c r="D206" s="21" t="s">
        <v>310</v>
      </c>
      <c r="E206" s="22">
        <v>16</v>
      </c>
      <c r="F206" s="22">
        <v>2</v>
      </c>
      <c r="G206" s="21" t="s">
        <v>118</v>
      </c>
      <c r="H206" s="22">
        <v>8</v>
      </c>
      <c r="I206" s="19"/>
      <c r="J206" s="4" t="str">
        <f t="shared" si="7"/>
        <v>BO016</v>
      </c>
      <c r="K206" s="6" t="str">
        <f>IFERROR(VLOOKUP(J206,'Inadimplencia - FEV 2025'!$A$5:$E$85,4,0),"0")</f>
        <v>0</v>
      </c>
      <c r="L206" s="6" t="str">
        <f>IFERROR(VLOOKUP(J206,'Inadimplencia - Out 2025'!$A$5:$E$85,4,0),"0")</f>
        <v>0</v>
      </c>
      <c r="M206" s="31">
        <f t="shared" si="8"/>
        <v>0</v>
      </c>
      <c r="N206" s="5"/>
    </row>
    <row r="207" spans="1:14" x14ac:dyDescent="0.25">
      <c r="A207" s="38"/>
      <c r="B207" s="20" t="s">
        <v>479</v>
      </c>
      <c r="C207" s="21" t="s">
        <v>338</v>
      </c>
      <c r="D207" s="21" t="s">
        <v>310</v>
      </c>
      <c r="E207" s="22">
        <v>19</v>
      </c>
      <c r="F207" s="22">
        <v>4</v>
      </c>
      <c r="G207" s="21" t="s">
        <v>118</v>
      </c>
      <c r="H207" s="22">
        <v>12</v>
      </c>
      <c r="I207" s="19"/>
      <c r="J207" s="4" t="str">
        <f t="shared" si="7"/>
        <v>BO019</v>
      </c>
      <c r="K207" s="6" t="str">
        <f>IFERROR(VLOOKUP(J207,'Inadimplencia - FEV 2025'!$A$5:$E$85,4,0),"0")</f>
        <v>0</v>
      </c>
      <c r="L207" s="6" t="str">
        <f>IFERROR(VLOOKUP(J207,'Inadimplencia - Out 2025'!$A$5:$E$85,4,0),"0")</f>
        <v>0</v>
      </c>
      <c r="M207" s="31">
        <f t="shared" si="8"/>
        <v>0</v>
      </c>
      <c r="N207" s="5"/>
    </row>
    <row r="208" spans="1:14" x14ac:dyDescent="0.25">
      <c r="A208" s="38"/>
      <c r="B208" s="16" t="s">
        <v>481</v>
      </c>
      <c r="C208" s="17" t="s">
        <v>340</v>
      </c>
      <c r="D208" s="17" t="s">
        <v>310</v>
      </c>
      <c r="E208" s="18">
        <v>20</v>
      </c>
      <c r="F208" s="18">
        <v>2</v>
      </c>
      <c r="G208" s="17" t="s">
        <v>118</v>
      </c>
      <c r="H208" s="18">
        <v>8</v>
      </c>
      <c r="I208" s="19"/>
      <c r="J208" s="4" t="str">
        <f t="shared" si="7"/>
        <v>BO020</v>
      </c>
      <c r="K208" s="6" t="str">
        <f>IFERROR(VLOOKUP(J208,'Inadimplencia - FEV 2025'!$A$5:$E$85,4,0),"0")</f>
        <v>0</v>
      </c>
      <c r="L208" s="6" t="str">
        <f>IFERROR(VLOOKUP(J208,'Inadimplencia - Out 2025'!$A$5:$E$85,4,0),"0")</f>
        <v>0</v>
      </c>
      <c r="M208" s="31">
        <f t="shared" si="8"/>
        <v>0</v>
      </c>
      <c r="N208" s="5"/>
    </row>
    <row r="209" spans="1:14" x14ac:dyDescent="0.25">
      <c r="A209" s="38"/>
      <c r="B209" s="16" t="s">
        <v>483</v>
      </c>
      <c r="C209" s="17" t="s">
        <v>342</v>
      </c>
      <c r="D209" s="17" t="s">
        <v>310</v>
      </c>
      <c r="E209" s="18">
        <v>21</v>
      </c>
      <c r="F209" s="18">
        <v>2</v>
      </c>
      <c r="G209" s="17" t="s">
        <v>118</v>
      </c>
      <c r="H209" s="18">
        <v>8</v>
      </c>
      <c r="I209" s="19"/>
      <c r="J209" s="4" t="str">
        <f t="shared" si="7"/>
        <v>BO021</v>
      </c>
      <c r="K209" s="6" t="str">
        <f>IFERROR(VLOOKUP(J209,'Inadimplencia - FEV 2025'!$A$5:$E$85,4,0),"0")</f>
        <v>0</v>
      </c>
      <c r="L209" s="6" t="str">
        <f>IFERROR(VLOOKUP(J209,'Inadimplencia - Out 2025'!$A$5:$E$85,4,0),"0")</f>
        <v>0</v>
      </c>
      <c r="M209" s="31">
        <f t="shared" si="8"/>
        <v>0</v>
      </c>
      <c r="N209" s="5"/>
    </row>
    <row r="210" spans="1:14" x14ac:dyDescent="0.25">
      <c r="A210" s="38"/>
      <c r="B210" s="16" t="s">
        <v>485</v>
      </c>
      <c r="C210" s="21" t="s">
        <v>344</v>
      </c>
      <c r="D210" s="21" t="s">
        <v>310</v>
      </c>
      <c r="E210" s="22">
        <v>22</v>
      </c>
      <c r="F210" s="22">
        <v>2</v>
      </c>
      <c r="G210" s="21" t="s">
        <v>118</v>
      </c>
      <c r="H210" s="22">
        <v>8</v>
      </c>
      <c r="I210" s="19"/>
      <c r="J210" s="4" t="str">
        <f t="shared" si="7"/>
        <v>BO022</v>
      </c>
      <c r="K210" s="6" t="str">
        <f>IFERROR(VLOOKUP(J210,'Inadimplencia - FEV 2025'!$A$5:$E$85,4,0),"0")</f>
        <v>0</v>
      </c>
      <c r="L210" s="6" t="str">
        <f>IFERROR(VLOOKUP(J210,'Inadimplencia - Out 2025'!$A$5:$E$85,4,0),"0")</f>
        <v>0</v>
      </c>
      <c r="M210" s="31">
        <f t="shared" si="8"/>
        <v>0</v>
      </c>
      <c r="N210" s="5"/>
    </row>
    <row r="211" spans="1:14" x14ac:dyDescent="0.25">
      <c r="A211" s="38"/>
      <c r="B211" s="16" t="s">
        <v>487</v>
      </c>
      <c r="C211" s="21" t="s">
        <v>346</v>
      </c>
      <c r="D211" s="21" t="s">
        <v>310</v>
      </c>
      <c r="E211" s="22">
        <v>23</v>
      </c>
      <c r="F211" s="22">
        <v>2</v>
      </c>
      <c r="G211" s="21" t="s">
        <v>118</v>
      </c>
      <c r="H211" s="22">
        <v>8</v>
      </c>
      <c r="I211" s="19"/>
      <c r="J211" s="4" t="str">
        <f t="shared" si="7"/>
        <v>BO023</v>
      </c>
      <c r="K211" s="6" t="str">
        <f>IFERROR(VLOOKUP(J211,'Inadimplencia - FEV 2025'!$A$5:$E$85,4,0),"0")</f>
        <v>0</v>
      </c>
      <c r="L211" s="6" t="str">
        <f>IFERROR(VLOOKUP(J211,'Inadimplencia - Out 2025'!$A$5:$E$85,4,0),"0")</f>
        <v>0</v>
      </c>
      <c r="M211" s="31">
        <f t="shared" si="8"/>
        <v>0</v>
      </c>
      <c r="N211" s="5"/>
    </row>
    <row r="212" spans="1:14" x14ac:dyDescent="0.25">
      <c r="A212" s="38"/>
      <c r="B212" s="20" t="s">
        <v>489</v>
      </c>
      <c r="C212" s="21" t="s">
        <v>227</v>
      </c>
      <c r="D212" s="21" t="s">
        <v>310</v>
      </c>
      <c r="E212" s="22">
        <v>24</v>
      </c>
      <c r="F212" s="22">
        <v>2</v>
      </c>
      <c r="G212" s="21" t="s">
        <v>133</v>
      </c>
      <c r="H212" s="22">
        <v>4</v>
      </c>
      <c r="I212" s="19"/>
      <c r="J212" s="4" t="str">
        <f t="shared" si="7"/>
        <v>BO024</v>
      </c>
      <c r="K212" s="6" t="str">
        <f>IFERROR(VLOOKUP(J212,'Inadimplencia - FEV 2025'!$A$5:$E$85,4,0),"0")</f>
        <v>0</v>
      </c>
      <c r="L212" s="6" t="str">
        <f>IFERROR(VLOOKUP(J212,'Inadimplencia - Out 2025'!$A$5:$E$85,4,0),"0")</f>
        <v>0</v>
      </c>
      <c r="M212" s="31">
        <f t="shared" si="8"/>
        <v>0</v>
      </c>
      <c r="N212" s="5"/>
    </row>
    <row r="213" spans="1:14" x14ac:dyDescent="0.25">
      <c r="A213" s="38"/>
      <c r="B213" s="16" t="s">
        <v>491</v>
      </c>
      <c r="C213" s="17" t="s">
        <v>348</v>
      </c>
      <c r="D213" s="17" t="s">
        <v>310</v>
      </c>
      <c r="E213" s="18">
        <v>25</v>
      </c>
      <c r="F213" s="18">
        <v>2</v>
      </c>
      <c r="G213" s="17" t="s">
        <v>118</v>
      </c>
      <c r="H213" s="18">
        <v>8</v>
      </c>
      <c r="I213" s="19"/>
      <c r="J213" s="4" t="str">
        <f t="shared" si="7"/>
        <v>BO025</v>
      </c>
      <c r="K213" s="6" t="str">
        <f>IFERROR(VLOOKUP(J213,'Inadimplencia - FEV 2025'!$A$5:$E$85,4,0),"0")</f>
        <v>0</v>
      </c>
      <c r="L213" s="6" t="str">
        <f>IFERROR(VLOOKUP(J213,'Inadimplencia - Out 2025'!$A$5:$E$85,4,0),"0")</f>
        <v>0</v>
      </c>
      <c r="M213" s="31">
        <f t="shared" si="8"/>
        <v>0</v>
      </c>
      <c r="N213" s="5"/>
    </row>
    <row r="214" spans="1:14" x14ac:dyDescent="0.25">
      <c r="A214" s="38"/>
      <c r="B214" s="16" t="s">
        <v>493</v>
      </c>
      <c r="C214" s="17" t="s">
        <v>350</v>
      </c>
      <c r="D214" s="17" t="s">
        <v>310</v>
      </c>
      <c r="E214" s="18">
        <v>26</v>
      </c>
      <c r="F214" s="18">
        <v>2</v>
      </c>
      <c r="G214" s="17" t="s">
        <v>118</v>
      </c>
      <c r="H214" s="18">
        <v>8</v>
      </c>
      <c r="I214" s="19"/>
      <c r="J214" s="4" t="str">
        <f t="shared" si="7"/>
        <v>BO026</v>
      </c>
      <c r="K214" s="6" t="str">
        <f>IFERROR(VLOOKUP(J214,'Inadimplencia - FEV 2025'!$A$5:$E$85,4,0),"0")</f>
        <v>0</v>
      </c>
      <c r="L214" s="6" t="str">
        <f>IFERROR(VLOOKUP(J214,'Inadimplencia - Out 2025'!$A$5:$E$85,4,0),"0")</f>
        <v>0</v>
      </c>
      <c r="M214" s="31">
        <f t="shared" si="8"/>
        <v>0</v>
      </c>
      <c r="N214" s="5"/>
    </row>
    <row r="215" spans="1:14" x14ac:dyDescent="0.25">
      <c r="A215" s="38"/>
      <c r="B215" s="16" t="s">
        <v>495</v>
      </c>
      <c r="C215" s="21" t="s">
        <v>352</v>
      </c>
      <c r="D215" s="21" t="s">
        <v>310</v>
      </c>
      <c r="E215" s="22">
        <v>27</v>
      </c>
      <c r="F215" s="22">
        <v>2</v>
      </c>
      <c r="G215" s="21" t="s">
        <v>118</v>
      </c>
      <c r="H215" s="22">
        <v>8</v>
      </c>
      <c r="I215" s="19"/>
      <c r="J215" s="4" t="str">
        <f t="shared" si="7"/>
        <v>BO027</v>
      </c>
      <c r="K215" s="6" t="str">
        <f>IFERROR(VLOOKUP(J215,'Inadimplencia - FEV 2025'!$A$5:$E$85,4,0),"0")</f>
        <v>0</v>
      </c>
      <c r="L215" s="6" t="str">
        <f>IFERROR(VLOOKUP(J215,'Inadimplencia - Out 2025'!$A$5:$E$85,4,0),"0")</f>
        <v>0</v>
      </c>
      <c r="M215" s="31">
        <f t="shared" si="8"/>
        <v>0</v>
      </c>
      <c r="N215" s="5"/>
    </row>
    <row r="216" spans="1:14" x14ac:dyDescent="0.25">
      <c r="A216" s="38"/>
      <c r="B216" s="20" t="s">
        <v>497</v>
      </c>
      <c r="C216" s="21" t="s">
        <v>358</v>
      </c>
      <c r="D216" s="21" t="s">
        <v>310</v>
      </c>
      <c r="E216" s="22">
        <v>32</v>
      </c>
      <c r="F216" s="22">
        <v>2</v>
      </c>
      <c r="G216" s="21" t="s">
        <v>118</v>
      </c>
      <c r="H216" s="22">
        <v>8</v>
      </c>
      <c r="I216" s="19"/>
      <c r="J216" s="4" t="str">
        <f t="shared" si="7"/>
        <v>BO032</v>
      </c>
      <c r="K216" s="6" t="str">
        <f>IFERROR(VLOOKUP(J216,'Inadimplencia - FEV 2025'!$A$5:$E$85,4,0),"0")</f>
        <v>0</v>
      </c>
      <c r="L216" s="6" t="str">
        <f>IFERROR(VLOOKUP(J216,'Inadimplencia - Out 2025'!$A$5:$E$85,4,0),"0")</f>
        <v>0</v>
      </c>
      <c r="M216" s="31">
        <f t="shared" si="8"/>
        <v>0</v>
      </c>
      <c r="N216" s="5"/>
    </row>
    <row r="217" spans="1:14" x14ac:dyDescent="0.25">
      <c r="A217" s="38"/>
      <c r="B217" s="20" t="s">
        <v>499</v>
      </c>
      <c r="C217" s="21" t="s">
        <v>362</v>
      </c>
      <c r="D217" s="21" t="s">
        <v>310</v>
      </c>
      <c r="E217" s="22">
        <v>34</v>
      </c>
      <c r="F217" s="22">
        <v>2</v>
      </c>
      <c r="G217" s="21" t="s">
        <v>118</v>
      </c>
      <c r="H217" s="22">
        <v>8</v>
      </c>
      <c r="I217" s="19"/>
      <c r="J217" s="4" t="str">
        <f t="shared" si="7"/>
        <v>BO034</v>
      </c>
      <c r="K217" s="6" t="str">
        <f>IFERROR(VLOOKUP(J217,'Inadimplencia - FEV 2025'!$A$5:$E$85,4,0),"0")</f>
        <v>0</v>
      </c>
      <c r="L217" s="6" t="str">
        <f>IFERROR(VLOOKUP(J217,'Inadimplencia - Out 2025'!$A$5:$E$85,4,0),"0")</f>
        <v>0</v>
      </c>
      <c r="M217" s="31">
        <f t="shared" si="8"/>
        <v>0</v>
      </c>
      <c r="N217" s="5"/>
    </row>
    <row r="218" spans="1:14" x14ac:dyDescent="0.25">
      <c r="A218" s="38"/>
      <c r="B218" s="16" t="s">
        <v>501</v>
      </c>
      <c r="C218" s="21" t="s">
        <v>364</v>
      </c>
      <c r="D218" s="21" t="s">
        <v>310</v>
      </c>
      <c r="E218" s="22">
        <v>35</v>
      </c>
      <c r="F218" s="22">
        <v>2</v>
      </c>
      <c r="G218" s="21" t="s">
        <v>118</v>
      </c>
      <c r="H218" s="22">
        <v>8</v>
      </c>
      <c r="I218" s="19"/>
      <c r="J218" s="4" t="str">
        <f t="shared" si="7"/>
        <v>BO035</v>
      </c>
      <c r="K218" s="6" t="str">
        <f>IFERROR(VLOOKUP(J218,'Inadimplencia - FEV 2025'!$A$5:$E$85,4,0),"0")</f>
        <v>0</v>
      </c>
      <c r="L218" s="6" t="str">
        <f>IFERROR(VLOOKUP(J218,'Inadimplencia - Out 2025'!$A$5:$E$85,4,0),"0")</f>
        <v>0</v>
      </c>
      <c r="M218" s="31">
        <f t="shared" si="8"/>
        <v>0</v>
      </c>
      <c r="N218" s="5"/>
    </row>
    <row r="219" spans="1:14" x14ac:dyDescent="0.25">
      <c r="A219" s="38"/>
      <c r="B219" s="20" t="s">
        <v>276</v>
      </c>
      <c r="C219" s="21" t="s">
        <v>366</v>
      </c>
      <c r="D219" s="21" t="s">
        <v>310</v>
      </c>
      <c r="E219" s="22">
        <v>36</v>
      </c>
      <c r="F219" s="22">
        <v>2</v>
      </c>
      <c r="G219" s="21" t="s">
        <v>118</v>
      </c>
      <c r="H219" s="22">
        <v>8</v>
      </c>
      <c r="I219" s="19"/>
      <c r="J219" s="4" t="str">
        <f t="shared" si="7"/>
        <v>BO036</v>
      </c>
      <c r="K219" s="6" t="str">
        <f>IFERROR(VLOOKUP(J219,'Inadimplencia - FEV 2025'!$A$5:$E$85,4,0),"0")</f>
        <v>0</v>
      </c>
      <c r="L219" s="6" t="str">
        <f>IFERROR(VLOOKUP(J219,'Inadimplencia - Out 2025'!$A$5:$E$85,4,0),"0")</f>
        <v>0</v>
      </c>
      <c r="M219" s="31">
        <f t="shared" si="8"/>
        <v>0</v>
      </c>
      <c r="N219" s="5"/>
    </row>
    <row r="220" spans="1:14" x14ac:dyDescent="0.25">
      <c r="A220" s="38"/>
      <c r="B220" s="20" t="s">
        <v>503</v>
      </c>
      <c r="C220" s="17" t="s">
        <v>368</v>
      </c>
      <c r="D220" s="17" t="s">
        <v>310</v>
      </c>
      <c r="E220" s="18">
        <v>37</v>
      </c>
      <c r="F220" s="18">
        <v>2</v>
      </c>
      <c r="G220" s="17" t="s">
        <v>118</v>
      </c>
      <c r="H220" s="18">
        <v>8</v>
      </c>
      <c r="I220" s="19"/>
      <c r="J220" s="4" t="str">
        <f t="shared" si="7"/>
        <v>BO037</v>
      </c>
      <c r="K220" s="6" t="str">
        <f>IFERROR(VLOOKUP(J220,'Inadimplencia - FEV 2025'!$A$5:$E$85,4,0),"0")</f>
        <v>0</v>
      </c>
      <c r="L220" s="6" t="str">
        <f>IFERROR(VLOOKUP(J220,'Inadimplencia - Out 2025'!$A$5:$E$85,4,0),"0")</f>
        <v>0</v>
      </c>
      <c r="M220" s="31">
        <f t="shared" si="8"/>
        <v>0</v>
      </c>
      <c r="N220" s="5"/>
    </row>
    <row r="221" spans="1:14" x14ac:dyDescent="0.25">
      <c r="A221" s="38"/>
      <c r="B221" s="20" t="s">
        <v>505</v>
      </c>
      <c r="C221" s="17" t="s">
        <v>370</v>
      </c>
      <c r="D221" s="17" t="s">
        <v>310</v>
      </c>
      <c r="E221" s="18">
        <v>38</v>
      </c>
      <c r="F221" s="18">
        <v>2</v>
      </c>
      <c r="G221" s="17" t="s">
        <v>118</v>
      </c>
      <c r="H221" s="18">
        <v>8</v>
      </c>
      <c r="I221" s="19"/>
      <c r="J221" s="4" t="str">
        <f t="shared" si="7"/>
        <v>BO038</v>
      </c>
      <c r="K221" s="6" t="str">
        <f>IFERROR(VLOOKUP(J221,'Inadimplencia - FEV 2025'!$A$5:$E$85,4,0),"0")</f>
        <v>0</v>
      </c>
      <c r="L221" s="6" t="str">
        <f>IFERROR(VLOOKUP(J221,'Inadimplencia - Out 2025'!$A$5:$E$85,4,0),"0")</f>
        <v>0</v>
      </c>
      <c r="M221" s="31">
        <f t="shared" si="8"/>
        <v>0</v>
      </c>
      <c r="N221" s="5"/>
    </row>
    <row r="222" spans="1:14" ht="25.5" x14ac:dyDescent="0.25">
      <c r="A222" s="38"/>
      <c r="B222" s="20" t="s">
        <v>507</v>
      </c>
      <c r="C222" s="17" t="s">
        <v>372</v>
      </c>
      <c r="D222" s="17" t="s">
        <v>310</v>
      </c>
      <c r="E222" s="18">
        <v>39</v>
      </c>
      <c r="F222" s="18">
        <v>2</v>
      </c>
      <c r="G222" s="17" t="s">
        <v>118</v>
      </c>
      <c r="H222" s="18">
        <v>8</v>
      </c>
      <c r="I222" s="19"/>
      <c r="J222" s="4" t="str">
        <f t="shared" si="7"/>
        <v>BO039</v>
      </c>
      <c r="K222" s="6" t="str">
        <f>IFERROR(VLOOKUP(J222,'Inadimplencia - FEV 2025'!$A$5:$E$85,4,0),"0")</f>
        <v>0</v>
      </c>
      <c r="L222" s="6" t="str">
        <f>IFERROR(VLOOKUP(J222,'Inadimplencia - Out 2025'!$A$5:$E$85,4,0),"0")</f>
        <v>0</v>
      </c>
      <c r="M222" s="31">
        <f t="shared" si="8"/>
        <v>0</v>
      </c>
      <c r="N222" s="5"/>
    </row>
    <row r="223" spans="1:14" x14ac:dyDescent="0.25">
      <c r="A223" s="38"/>
      <c r="B223" s="16" t="s">
        <v>509</v>
      </c>
      <c r="C223" s="21" t="s">
        <v>374</v>
      </c>
      <c r="D223" s="21" t="s">
        <v>310</v>
      </c>
      <c r="E223" s="22">
        <v>40</v>
      </c>
      <c r="F223" s="22">
        <v>2</v>
      </c>
      <c r="G223" s="21" t="s">
        <v>118</v>
      </c>
      <c r="H223" s="22">
        <v>8</v>
      </c>
      <c r="I223" s="19"/>
      <c r="J223" s="4" t="str">
        <f t="shared" si="7"/>
        <v>BO040</v>
      </c>
      <c r="K223" s="6" t="str">
        <f>IFERROR(VLOOKUP(J223,'Inadimplencia - FEV 2025'!$A$5:$E$85,4,0),"0")</f>
        <v>0</v>
      </c>
      <c r="L223" s="6" t="str">
        <f>IFERROR(VLOOKUP(J223,'Inadimplencia - Out 2025'!$A$5:$E$85,4,0),"0")</f>
        <v>0</v>
      </c>
      <c r="M223" s="31">
        <f t="shared" si="8"/>
        <v>0</v>
      </c>
      <c r="N223" s="5"/>
    </row>
    <row r="224" spans="1:14" ht="25.5" x14ac:dyDescent="0.25">
      <c r="A224" s="38"/>
      <c r="B224" s="20" t="s">
        <v>511</v>
      </c>
      <c r="C224" s="17" t="s">
        <v>376</v>
      </c>
      <c r="D224" s="17" t="s">
        <v>310</v>
      </c>
      <c r="E224" s="18">
        <v>43</v>
      </c>
      <c r="F224" s="18">
        <v>2</v>
      </c>
      <c r="G224" s="17" t="s">
        <v>118</v>
      </c>
      <c r="H224" s="18">
        <v>8</v>
      </c>
      <c r="I224" s="19"/>
      <c r="J224" s="4" t="str">
        <f t="shared" si="7"/>
        <v>BO043</v>
      </c>
      <c r="K224" s="6" t="str">
        <f>IFERROR(VLOOKUP(J224,'Inadimplencia - FEV 2025'!$A$5:$E$85,4,0),"0")</f>
        <v>0</v>
      </c>
      <c r="L224" s="6" t="str">
        <f>IFERROR(VLOOKUP(J224,'Inadimplencia - Out 2025'!$A$5:$E$85,4,0),"0")</f>
        <v>0</v>
      </c>
      <c r="M224" s="31">
        <f t="shared" si="8"/>
        <v>0</v>
      </c>
      <c r="N224" s="5"/>
    </row>
    <row r="225" spans="1:14" x14ac:dyDescent="0.25">
      <c r="A225" s="38"/>
      <c r="B225" s="20" t="s">
        <v>514</v>
      </c>
      <c r="C225" s="17" t="s">
        <v>378</v>
      </c>
      <c r="D225" s="17" t="s">
        <v>310</v>
      </c>
      <c r="E225" s="18">
        <v>44</v>
      </c>
      <c r="F225" s="18">
        <v>2</v>
      </c>
      <c r="G225" s="17" t="s">
        <v>118</v>
      </c>
      <c r="H225" s="18">
        <v>8</v>
      </c>
      <c r="I225" s="19"/>
      <c r="J225" s="4" t="str">
        <f t="shared" ref="J225:J256" si="9">"BO" &amp; TEXT(E225, "000")</f>
        <v>BO044</v>
      </c>
      <c r="K225" s="6" t="str">
        <f>IFERROR(VLOOKUP(J225,'Inadimplencia - FEV 2025'!$A$5:$E$85,4,0),"0")</f>
        <v>0</v>
      </c>
      <c r="L225" s="6" t="str">
        <f>IFERROR(VLOOKUP(J225,'Inadimplencia - Out 2025'!$A$5:$E$85,4,0),"0")</f>
        <v>0</v>
      </c>
      <c r="M225" s="31">
        <f t="shared" si="8"/>
        <v>0</v>
      </c>
      <c r="N225" s="5"/>
    </row>
    <row r="226" spans="1:14" x14ac:dyDescent="0.25">
      <c r="A226" s="38"/>
      <c r="B226" s="20" t="s">
        <v>516</v>
      </c>
      <c r="C226" s="17" t="s">
        <v>380</v>
      </c>
      <c r="D226" s="17" t="s">
        <v>310</v>
      </c>
      <c r="E226" s="18">
        <v>45</v>
      </c>
      <c r="F226" s="18">
        <v>2</v>
      </c>
      <c r="G226" s="17" t="s">
        <v>118</v>
      </c>
      <c r="H226" s="18">
        <v>8</v>
      </c>
      <c r="I226" s="19"/>
      <c r="J226" s="4" t="str">
        <f t="shared" si="9"/>
        <v>BO045</v>
      </c>
      <c r="K226" s="6" t="str">
        <f>IFERROR(VLOOKUP(J226,'Inadimplencia - FEV 2025'!$A$5:$E$85,4,0),"0")</f>
        <v>0</v>
      </c>
      <c r="L226" s="6" t="str">
        <f>IFERROR(VLOOKUP(J226,'Inadimplencia - Out 2025'!$A$5:$E$85,4,0),"0")</f>
        <v>0</v>
      </c>
      <c r="M226" s="31">
        <f t="shared" si="8"/>
        <v>0</v>
      </c>
      <c r="N226" s="5"/>
    </row>
    <row r="227" spans="1:14" x14ac:dyDescent="0.25">
      <c r="A227" s="38"/>
      <c r="B227" s="16" t="s">
        <v>518</v>
      </c>
      <c r="C227" s="21" t="s">
        <v>382</v>
      </c>
      <c r="D227" s="21" t="s">
        <v>310</v>
      </c>
      <c r="E227" s="22">
        <v>46</v>
      </c>
      <c r="F227" s="22">
        <v>2</v>
      </c>
      <c r="G227" s="21" t="s">
        <v>118</v>
      </c>
      <c r="H227" s="22">
        <v>8</v>
      </c>
      <c r="I227" s="19"/>
      <c r="J227" s="4" t="str">
        <f t="shared" si="9"/>
        <v>BO046</v>
      </c>
      <c r="K227" s="6" t="str">
        <f>IFERROR(VLOOKUP(J227,'Inadimplencia - FEV 2025'!$A$5:$E$85,4,0),"0")</f>
        <v>0</v>
      </c>
      <c r="L227" s="6" t="str">
        <f>IFERROR(VLOOKUP(J227,'Inadimplencia - Out 2025'!$A$5:$E$85,4,0),"0")</f>
        <v>0</v>
      </c>
      <c r="M227" s="31">
        <f t="shared" si="8"/>
        <v>0</v>
      </c>
      <c r="N227" s="5"/>
    </row>
    <row r="228" spans="1:14" x14ac:dyDescent="0.25">
      <c r="A228" s="38"/>
      <c r="B228" s="20" t="s">
        <v>520</v>
      </c>
      <c r="C228" s="21" t="s">
        <v>384</v>
      </c>
      <c r="D228" s="21" t="s">
        <v>310</v>
      </c>
      <c r="E228" s="22">
        <v>47</v>
      </c>
      <c r="F228" s="22">
        <v>2</v>
      </c>
      <c r="G228" s="21" t="s">
        <v>118</v>
      </c>
      <c r="H228" s="22">
        <v>8</v>
      </c>
      <c r="I228" s="19"/>
      <c r="J228" s="4" t="str">
        <f t="shared" si="9"/>
        <v>BO047</v>
      </c>
      <c r="K228" s="6" t="str">
        <f>IFERROR(VLOOKUP(J228,'Inadimplencia - FEV 2025'!$A$5:$E$85,4,0),"0")</f>
        <v>0</v>
      </c>
      <c r="L228" s="6" t="str">
        <f>IFERROR(VLOOKUP(J228,'Inadimplencia - Out 2025'!$A$5:$E$85,4,0),"0")</f>
        <v>0</v>
      </c>
      <c r="M228" s="31">
        <f t="shared" si="8"/>
        <v>0</v>
      </c>
      <c r="N228" s="5"/>
    </row>
    <row r="229" spans="1:14" x14ac:dyDescent="0.25">
      <c r="A229" s="38"/>
      <c r="B229" s="20" t="s">
        <v>522</v>
      </c>
      <c r="C229" s="21" t="s">
        <v>388</v>
      </c>
      <c r="D229" s="21" t="s">
        <v>310</v>
      </c>
      <c r="E229" s="22">
        <v>49</v>
      </c>
      <c r="F229" s="22">
        <v>2</v>
      </c>
      <c r="G229" s="21" t="s">
        <v>118</v>
      </c>
      <c r="H229" s="22">
        <v>8</v>
      </c>
      <c r="I229" s="19"/>
      <c r="J229" s="4" t="str">
        <f t="shared" si="9"/>
        <v>BO049</v>
      </c>
      <c r="K229" s="6" t="str">
        <f>IFERROR(VLOOKUP(J229,'Inadimplencia - FEV 2025'!$A$5:$E$85,4,0),"0")</f>
        <v>0</v>
      </c>
      <c r="L229" s="6" t="str">
        <f>IFERROR(VLOOKUP(J229,'Inadimplencia - Out 2025'!$A$5:$E$85,4,0),"0")</f>
        <v>0</v>
      </c>
      <c r="M229" s="31">
        <f t="shared" si="8"/>
        <v>0</v>
      </c>
      <c r="N229" s="5"/>
    </row>
    <row r="230" spans="1:14" x14ac:dyDescent="0.25">
      <c r="A230" s="38"/>
      <c r="B230" s="16" t="s">
        <v>524</v>
      </c>
      <c r="C230" s="21" t="s">
        <v>390</v>
      </c>
      <c r="D230" s="21" t="s">
        <v>310</v>
      </c>
      <c r="E230" s="22">
        <v>50</v>
      </c>
      <c r="F230" s="22">
        <v>2</v>
      </c>
      <c r="G230" s="21" t="s">
        <v>118</v>
      </c>
      <c r="H230" s="22">
        <v>8</v>
      </c>
      <c r="I230" s="19"/>
      <c r="J230" s="4" t="str">
        <f t="shared" si="9"/>
        <v>BO050</v>
      </c>
      <c r="K230" s="6" t="str">
        <f>IFERROR(VLOOKUP(J230,'Inadimplencia - FEV 2025'!$A$5:$E$85,4,0),"0")</f>
        <v>0</v>
      </c>
      <c r="L230" s="6" t="str">
        <f>IFERROR(VLOOKUP(J230,'Inadimplencia - Out 2025'!$A$5:$E$85,4,0),"0")</f>
        <v>0</v>
      </c>
      <c r="M230" s="31">
        <f t="shared" si="8"/>
        <v>0</v>
      </c>
      <c r="N230" s="5"/>
    </row>
    <row r="231" spans="1:14" x14ac:dyDescent="0.25">
      <c r="A231" s="38"/>
      <c r="B231" s="16" t="s">
        <v>526</v>
      </c>
      <c r="C231" s="17" t="s">
        <v>392</v>
      </c>
      <c r="D231" s="17" t="s">
        <v>310</v>
      </c>
      <c r="E231" s="18">
        <v>51</v>
      </c>
      <c r="F231" s="18">
        <v>2</v>
      </c>
      <c r="G231" s="17" t="s">
        <v>118</v>
      </c>
      <c r="H231" s="18">
        <v>8</v>
      </c>
      <c r="I231" s="19"/>
      <c r="J231" s="4" t="str">
        <f t="shared" si="9"/>
        <v>BO051</v>
      </c>
      <c r="K231" s="6" t="str">
        <f>IFERROR(VLOOKUP(J231,'Inadimplencia - FEV 2025'!$A$5:$E$85,4,0),"0")</f>
        <v>0</v>
      </c>
      <c r="L231" s="6" t="str">
        <f>IFERROR(VLOOKUP(J231,'Inadimplencia - Out 2025'!$A$5:$E$85,4,0),"0")</f>
        <v>0</v>
      </c>
      <c r="M231" s="31">
        <f t="shared" si="8"/>
        <v>0</v>
      </c>
      <c r="N231" s="5"/>
    </row>
    <row r="232" spans="1:14" x14ac:dyDescent="0.25">
      <c r="A232" s="38"/>
      <c r="B232" s="20" t="s">
        <v>528</v>
      </c>
      <c r="C232" s="17" t="s">
        <v>394</v>
      </c>
      <c r="D232" s="17" t="s">
        <v>310</v>
      </c>
      <c r="E232" s="18">
        <v>52</v>
      </c>
      <c r="F232" s="18">
        <v>2</v>
      </c>
      <c r="G232" s="17" t="s">
        <v>118</v>
      </c>
      <c r="H232" s="18">
        <v>8</v>
      </c>
      <c r="I232" s="19"/>
      <c r="J232" s="4" t="str">
        <f t="shared" si="9"/>
        <v>BO052</v>
      </c>
      <c r="K232" s="6" t="str">
        <f>IFERROR(VLOOKUP(J232,'Inadimplencia - FEV 2025'!$A$5:$E$85,4,0),"0")</f>
        <v>0</v>
      </c>
      <c r="L232" s="6" t="str">
        <f>IFERROR(VLOOKUP(J232,'Inadimplencia - Out 2025'!$A$5:$E$85,4,0),"0")</f>
        <v>0</v>
      </c>
      <c r="M232" s="31">
        <f t="shared" si="8"/>
        <v>0</v>
      </c>
      <c r="N232" s="5"/>
    </row>
    <row r="233" spans="1:14" x14ac:dyDescent="0.25">
      <c r="A233" s="38"/>
      <c r="B233" s="20" t="s">
        <v>530</v>
      </c>
      <c r="C233" s="17" t="s">
        <v>396</v>
      </c>
      <c r="D233" s="17" t="s">
        <v>310</v>
      </c>
      <c r="E233" s="18">
        <v>53</v>
      </c>
      <c r="F233" s="18">
        <v>2</v>
      </c>
      <c r="G233" s="17" t="s">
        <v>118</v>
      </c>
      <c r="H233" s="18">
        <v>8</v>
      </c>
      <c r="I233" s="19"/>
      <c r="J233" s="4" t="str">
        <f t="shared" si="9"/>
        <v>BO053</v>
      </c>
      <c r="K233" s="6" t="str">
        <f>IFERROR(VLOOKUP(J233,'Inadimplencia - FEV 2025'!$A$5:$E$85,4,0),"0")</f>
        <v>0</v>
      </c>
      <c r="L233" s="6" t="str">
        <f>IFERROR(VLOOKUP(J233,'Inadimplencia - Out 2025'!$A$5:$E$85,4,0),"0")</f>
        <v>0</v>
      </c>
      <c r="M233" s="31">
        <f t="shared" si="8"/>
        <v>0</v>
      </c>
      <c r="N233" s="5"/>
    </row>
    <row r="234" spans="1:14" x14ac:dyDescent="0.25">
      <c r="A234" s="38"/>
      <c r="B234" s="16" t="s">
        <v>532</v>
      </c>
      <c r="C234" s="21" t="s">
        <v>398</v>
      </c>
      <c r="D234" s="21" t="s">
        <v>310</v>
      </c>
      <c r="E234" s="22">
        <v>54</v>
      </c>
      <c r="F234" s="22">
        <v>2</v>
      </c>
      <c r="G234" s="21" t="s">
        <v>118</v>
      </c>
      <c r="H234" s="22">
        <v>8</v>
      </c>
      <c r="I234" s="19"/>
      <c r="J234" s="4" t="str">
        <f t="shared" si="9"/>
        <v>BO054</v>
      </c>
      <c r="K234" s="6" t="str">
        <f>IFERROR(VLOOKUP(J234,'Inadimplencia - FEV 2025'!$A$5:$E$85,4,0),"0")</f>
        <v>0</v>
      </c>
      <c r="L234" s="6" t="str">
        <f>IFERROR(VLOOKUP(J234,'Inadimplencia - Out 2025'!$A$5:$E$85,4,0),"0")</f>
        <v>0</v>
      </c>
      <c r="M234" s="31">
        <f t="shared" si="8"/>
        <v>0</v>
      </c>
      <c r="N234" s="5"/>
    </row>
    <row r="235" spans="1:14" x14ac:dyDescent="0.25">
      <c r="A235" s="38"/>
      <c r="B235" s="20" t="s">
        <v>534</v>
      </c>
      <c r="C235" s="21" t="s">
        <v>402</v>
      </c>
      <c r="D235" s="21" t="s">
        <v>310</v>
      </c>
      <c r="E235" s="22">
        <v>56</v>
      </c>
      <c r="F235" s="22">
        <v>2</v>
      </c>
      <c r="G235" s="21" t="s">
        <v>118</v>
      </c>
      <c r="H235" s="22">
        <v>8</v>
      </c>
      <c r="I235" s="19"/>
      <c r="J235" s="4" t="str">
        <f t="shared" si="9"/>
        <v>BO056</v>
      </c>
      <c r="K235" s="6" t="str">
        <f>IFERROR(VLOOKUP(J235,'Inadimplencia - FEV 2025'!$A$5:$E$85,4,0),"0")</f>
        <v>0</v>
      </c>
      <c r="L235" s="6" t="str">
        <f>IFERROR(VLOOKUP(J235,'Inadimplencia - Out 2025'!$A$5:$E$85,4,0),"0")</f>
        <v>0</v>
      </c>
      <c r="M235" s="31">
        <f t="shared" si="8"/>
        <v>0</v>
      </c>
      <c r="N235" s="5"/>
    </row>
    <row r="236" spans="1:14" ht="25.5" x14ac:dyDescent="0.25">
      <c r="A236" s="38"/>
      <c r="B236" s="16" t="s">
        <v>536</v>
      </c>
      <c r="C236" s="21" t="s">
        <v>404</v>
      </c>
      <c r="D236" s="21" t="s">
        <v>310</v>
      </c>
      <c r="E236" s="22">
        <v>57</v>
      </c>
      <c r="F236" s="22">
        <v>2</v>
      </c>
      <c r="G236" s="21" t="s">
        <v>118</v>
      </c>
      <c r="H236" s="22">
        <v>8</v>
      </c>
      <c r="I236" s="19"/>
      <c r="J236" s="4" t="str">
        <f t="shared" si="9"/>
        <v>BO057</v>
      </c>
      <c r="K236" s="6" t="str">
        <f>IFERROR(VLOOKUP(J236,'Inadimplencia - FEV 2025'!$A$5:$E$85,4,0),"0")</f>
        <v>0</v>
      </c>
      <c r="L236" s="6" t="str">
        <f>IFERROR(VLOOKUP(J236,'Inadimplencia - Out 2025'!$A$5:$E$85,4,0),"0")</f>
        <v>0</v>
      </c>
      <c r="M236" s="31">
        <f t="shared" si="8"/>
        <v>0</v>
      </c>
      <c r="N236" s="5"/>
    </row>
    <row r="237" spans="1:14" x14ac:dyDescent="0.25">
      <c r="A237" s="38"/>
      <c r="B237" s="20" t="s">
        <v>538</v>
      </c>
      <c r="C237" s="21" t="s">
        <v>406</v>
      </c>
      <c r="D237" s="21" t="s">
        <v>310</v>
      </c>
      <c r="E237" s="22">
        <v>58</v>
      </c>
      <c r="F237" s="22">
        <v>2</v>
      </c>
      <c r="G237" s="21" t="s">
        <v>118</v>
      </c>
      <c r="H237" s="22">
        <v>8</v>
      </c>
      <c r="I237" s="19"/>
      <c r="J237" s="4" t="str">
        <f t="shared" si="9"/>
        <v>BO058</v>
      </c>
      <c r="K237" s="6" t="str">
        <f>IFERROR(VLOOKUP(J237,'Inadimplencia - FEV 2025'!$A$5:$E$85,4,0),"0")</f>
        <v>0</v>
      </c>
      <c r="L237" s="6" t="str">
        <f>IFERROR(VLOOKUP(J237,'Inadimplencia - Out 2025'!$A$5:$E$85,4,0),"0")</f>
        <v>0</v>
      </c>
      <c r="M237" s="31">
        <f t="shared" si="8"/>
        <v>0</v>
      </c>
      <c r="N237" s="5"/>
    </row>
    <row r="238" spans="1:14" x14ac:dyDescent="0.25">
      <c r="A238" s="38"/>
      <c r="B238" s="16" t="s">
        <v>540</v>
      </c>
      <c r="C238" s="21" t="s">
        <v>408</v>
      </c>
      <c r="D238" s="21" t="s">
        <v>310</v>
      </c>
      <c r="E238" s="22">
        <v>59</v>
      </c>
      <c r="F238" s="22">
        <v>2</v>
      </c>
      <c r="G238" s="21" t="s">
        <v>118</v>
      </c>
      <c r="H238" s="22">
        <v>8</v>
      </c>
      <c r="I238" s="19"/>
      <c r="J238" s="4" t="str">
        <f t="shared" si="9"/>
        <v>BO059</v>
      </c>
      <c r="K238" s="6" t="str">
        <f>IFERROR(VLOOKUP(J238,'Inadimplencia - FEV 2025'!$A$5:$E$85,4,0),"0")</f>
        <v>0</v>
      </c>
      <c r="L238" s="6" t="str">
        <f>IFERROR(VLOOKUP(J238,'Inadimplencia - Out 2025'!$A$5:$E$85,4,0),"0")</f>
        <v>0</v>
      </c>
      <c r="M238" s="31">
        <f t="shared" si="8"/>
        <v>0</v>
      </c>
      <c r="N238" s="5"/>
    </row>
    <row r="239" spans="1:14" x14ac:dyDescent="0.25">
      <c r="A239" s="38"/>
      <c r="B239" s="20" t="s">
        <v>542</v>
      </c>
      <c r="C239" s="21" t="s">
        <v>410</v>
      </c>
      <c r="D239" s="21" t="s">
        <v>310</v>
      </c>
      <c r="E239" s="22">
        <v>60</v>
      </c>
      <c r="F239" s="22">
        <v>2</v>
      </c>
      <c r="G239" s="21" t="s">
        <v>118</v>
      </c>
      <c r="H239" s="22">
        <v>8</v>
      </c>
      <c r="I239" s="19"/>
      <c r="J239" s="4" t="str">
        <f t="shared" si="9"/>
        <v>BO060</v>
      </c>
      <c r="K239" s="6" t="str">
        <f>IFERROR(VLOOKUP(J239,'Inadimplencia - FEV 2025'!$A$5:$E$85,4,0),"0")</f>
        <v>0</v>
      </c>
      <c r="L239" s="6" t="str">
        <f>IFERROR(VLOOKUP(J239,'Inadimplencia - Out 2025'!$A$5:$E$85,4,0),"0")</f>
        <v>0</v>
      </c>
      <c r="M239" s="31">
        <f t="shared" si="8"/>
        <v>0</v>
      </c>
      <c r="N239" s="5"/>
    </row>
    <row r="240" spans="1:14" x14ac:dyDescent="0.25">
      <c r="A240" s="38"/>
      <c r="B240" s="20" t="s">
        <v>536</v>
      </c>
      <c r="C240" s="21" t="s">
        <v>412</v>
      </c>
      <c r="D240" s="21" t="s">
        <v>310</v>
      </c>
      <c r="E240" s="22">
        <v>61</v>
      </c>
      <c r="F240" s="22">
        <v>2</v>
      </c>
      <c r="G240" s="21" t="s">
        <v>118</v>
      </c>
      <c r="H240" s="22">
        <v>8</v>
      </c>
      <c r="I240" s="19"/>
      <c r="J240" s="4" t="str">
        <f t="shared" si="9"/>
        <v>BO061</v>
      </c>
      <c r="K240" s="6" t="str">
        <f>IFERROR(VLOOKUP(J240,'Inadimplencia - FEV 2025'!$A$5:$E$85,4,0),"0")</f>
        <v>0</v>
      </c>
      <c r="L240" s="6" t="str">
        <f>IFERROR(VLOOKUP(J240,'Inadimplencia - Out 2025'!$A$5:$E$85,4,0),"0")</f>
        <v>0</v>
      </c>
      <c r="M240" s="31">
        <f t="shared" si="8"/>
        <v>0</v>
      </c>
      <c r="N240" s="5"/>
    </row>
    <row r="241" spans="1:14" x14ac:dyDescent="0.25">
      <c r="A241" s="38"/>
      <c r="B241" s="20" t="s">
        <v>544</v>
      </c>
      <c r="C241" s="21" t="s">
        <v>414</v>
      </c>
      <c r="D241" s="21" t="s">
        <v>310</v>
      </c>
      <c r="E241" s="22">
        <v>62</v>
      </c>
      <c r="F241" s="22">
        <v>2</v>
      </c>
      <c r="G241" s="21" t="s">
        <v>118</v>
      </c>
      <c r="H241" s="22">
        <v>8</v>
      </c>
      <c r="I241" s="19"/>
      <c r="J241" s="4" t="str">
        <f t="shared" si="9"/>
        <v>BO062</v>
      </c>
      <c r="K241" s="6" t="str">
        <f>IFERROR(VLOOKUP(J241,'Inadimplencia - FEV 2025'!$A$5:$E$85,4,0),"0")</f>
        <v>0</v>
      </c>
      <c r="L241" s="6" t="str">
        <f>IFERROR(VLOOKUP(J241,'Inadimplencia - Out 2025'!$A$5:$E$85,4,0),"0")</f>
        <v>0</v>
      </c>
      <c r="M241" s="31">
        <f t="shared" si="8"/>
        <v>0</v>
      </c>
      <c r="N241" s="5"/>
    </row>
    <row r="242" spans="1:14" x14ac:dyDescent="0.25">
      <c r="A242" s="38"/>
      <c r="B242" s="20" t="s">
        <v>546</v>
      </c>
      <c r="C242" s="17" t="s">
        <v>416</v>
      </c>
      <c r="D242" s="17" t="s">
        <v>310</v>
      </c>
      <c r="E242" s="18">
        <v>63</v>
      </c>
      <c r="F242" s="18">
        <v>2</v>
      </c>
      <c r="G242" s="17" t="s">
        <v>118</v>
      </c>
      <c r="H242" s="18">
        <v>8</v>
      </c>
      <c r="I242" s="19"/>
      <c r="J242" s="4" t="str">
        <f t="shared" si="9"/>
        <v>BO063</v>
      </c>
      <c r="K242" s="6" t="str">
        <f>IFERROR(VLOOKUP(J242,'Inadimplencia - FEV 2025'!$A$5:$E$85,4,0),"0")</f>
        <v>0</v>
      </c>
      <c r="L242" s="6" t="str">
        <f>IFERROR(VLOOKUP(J242,'Inadimplencia - Out 2025'!$A$5:$E$85,4,0),"0")</f>
        <v>0</v>
      </c>
      <c r="M242" s="31">
        <f t="shared" si="8"/>
        <v>0</v>
      </c>
      <c r="N242" s="5"/>
    </row>
    <row r="243" spans="1:14" ht="25.5" x14ac:dyDescent="0.25">
      <c r="A243" s="38"/>
      <c r="B243" s="20" t="s">
        <v>548</v>
      </c>
      <c r="C243" s="17" t="s">
        <v>418</v>
      </c>
      <c r="D243" s="17" t="s">
        <v>310</v>
      </c>
      <c r="E243" s="18">
        <v>64</v>
      </c>
      <c r="F243" s="18">
        <v>2</v>
      </c>
      <c r="G243" s="17" t="s">
        <v>118</v>
      </c>
      <c r="H243" s="18">
        <v>8</v>
      </c>
      <c r="I243" s="19"/>
      <c r="J243" s="4" t="str">
        <f t="shared" si="9"/>
        <v>BO064</v>
      </c>
      <c r="K243" s="6" t="str">
        <f>IFERROR(VLOOKUP(J243,'Inadimplencia - FEV 2025'!$A$5:$E$85,4,0),"0")</f>
        <v>0</v>
      </c>
      <c r="L243" s="6" t="str">
        <f>IFERROR(VLOOKUP(J243,'Inadimplencia - Out 2025'!$A$5:$E$85,4,0),"0")</f>
        <v>0</v>
      </c>
      <c r="M243" s="31">
        <f t="shared" si="8"/>
        <v>0</v>
      </c>
      <c r="N243" s="5"/>
    </row>
    <row r="244" spans="1:14" x14ac:dyDescent="0.25">
      <c r="A244" s="38"/>
      <c r="B244" s="16" t="s">
        <v>550</v>
      </c>
      <c r="C244" s="17" t="s">
        <v>420</v>
      </c>
      <c r="D244" s="17" t="s">
        <v>310</v>
      </c>
      <c r="E244" s="18">
        <v>65</v>
      </c>
      <c r="F244" s="18">
        <v>2</v>
      </c>
      <c r="G244" s="17" t="s">
        <v>118</v>
      </c>
      <c r="H244" s="18">
        <v>8</v>
      </c>
      <c r="I244" s="19"/>
      <c r="J244" s="4" t="str">
        <f t="shared" si="9"/>
        <v>BO065</v>
      </c>
      <c r="K244" s="6" t="str">
        <f>IFERROR(VLOOKUP(J244,'Inadimplencia - FEV 2025'!$A$5:$E$85,4,0),"0")</f>
        <v>0</v>
      </c>
      <c r="L244" s="6" t="str">
        <f>IFERROR(VLOOKUP(J244,'Inadimplencia - Out 2025'!$A$5:$E$85,4,0),"0")</f>
        <v>0</v>
      </c>
      <c r="M244" s="31">
        <f t="shared" si="8"/>
        <v>0</v>
      </c>
      <c r="N244" s="5"/>
    </row>
    <row r="245" spans="1:14" x14ac:dyDescent="0.25">
      <c r="A245" s="38"/>
      <c r="B245" s="16" t="s">
        <v>552</v>
      </c>
      <c r="C245" s="21" t="s">
        <v>422</v>
      </c>
      <c r="D245" s="21" t="s">
        <v>310</v>
      </c>
      <c r="E245" s="22">
        <v>66</v>
      </c>
      <c r="F245" s="22">
        <v>2</v>
      </c>
      <c r="G245" s="21" t="s">
        <v>118</v>
      </c>
      <c r="H245" s="22">
        <v>8</v>
      </c>
      <c r="I245" s="19"/>
      <c r="J245" s="4" t="str">
        <f t="shared" si="9"/>
        <v>BO066</v>
      </c>
      <c r="K245" s="6" t="str">
        <f>IFERROR(VLOOKUP(J245,'Inadimplencia - FEV 2025'!$A$5:$E$85,4,0),"0")</f>
        <v>0</v>
      </c>
      <c r="L245" s="6" t="str">
        <f>IFERROR(VLOOKUP(J245,'Inadimplencia - Out 2025'!$A$5:$E$85,4,0),"0")</f>
        <v>0</v>
      </c>
      <c r="M245" s="31">
        <f t="shared" si="8"/>
        <v>0</v>
      </c>
      <c r="N245" s="5"/>
    </row>
    <row r="246" spans="1:14" ht="25.5" x14ac:dyDescent="0.25">
      <c r="A246" s="38"/>
      <c r="B246" s="16" t="s">
        <v>554</v>
      </c>
      <c r="C246" s="17" t="s">
        <v>424</v>
      </c>
      <c r="D246" s="17" t="s">
        <v>310</v>
      </c>
      <c r="E246" s="18">
        <v>67</v>
      </c>
      <c r="F246" s="18">
        <v>2</v>
      </c>
      <c r="G246" s="17" t="s">
        <v>118</v>
      </c>
      <c r="H246" s="18">
        <v>8</v>
      </c>
      <c r="I246" s="19"/>
      <c r="J246" s="4" t="str">
        <f t="shared" si="9"/>
        <v>BO067</v>
      </c>
      <c r="K246" s="6" t="str">
        <f>IFERROR(VLOOKUP(J246,'Inadimplencia - FEV 2025'!$A$5:$E$85,4,0),"0")</f>
        <v>0</v>
      </c>
      <c r="L246" s="6" t="str">
        <f>IFERROR(VLOOKUP(J246,'Inadimplencia - Out 2025'!$A$5:$E$85,4,0),"0")</f>
        <v>0</v>
      </c>
      <c r="M246" s="31">
        <f t="shared" si="8"/>
        <v>0</v>
      </c>
      <c r="N246" s="5"/>
    </row>
    <row r="247" spans="1:14" ht="25.5" x14ac:dyDescent="0.25">
      <c r="A247" s="38"/>
      <c r="B247" s="16" t="s">
        <v>556</v>
      </c>
      <c r="C247" s="17" t="s">
        <v>428</v>
      </c>
      <c r="D247" s="17" t="s">
        <v>310</v>
      </c>
      <c r="E247" s="18">
        <v>69</v>
      </c>
      <c r="F247" s="18">
        <v>2</v>
      </c>
      <c r="G247" s="17" t="s">
        <v>118</v>
      </c>
      <c r="H247" s="18">
        <v>8</v>
      </c>
      <c r="I247" s="19"/>
      <c r="J247" s="4" t="str">
        <f t="shared" si="9"/>
        <v>BO069</v>
      </c>
      <c r="K247" s="6" t="str">
        <f>IFERROR(VLOOKUP(J247,'Inadimplencia - FEV 2025'!$A$5:$E$85,4,0),"0")</f>
        <v>0</v>
      </c>
      <c r="L247" s="6" t="str">
        <f>IFERROR(VLOOKUP(J247,'Inadimplencia - Out 2025'!$A$5:$E$85,4,0),"0")</f>
        <v>0</v>
      </c>
      <c r="M247" s="31">
        <f t="shared" si="8"/>
        <v>0</v>
      </c>
      <c r="N247" s="5"/>
    </row>
    <row r="248" spans="1:14" x14ac:dyDescent="0.25">
      <c r="A248" s="38"/>
      <c r="B248" s="16" t="s">
        <v>558</v>
      </c>
      <c r="C248" s="21" t="s">
        <v>430</v>
      </c>
      <c r="D248" s="21" t="s">
        <v>310</v>
      </c>
      <c r="E248" s="22">
        <v>70</v>
      </c>
      <c r="F248" s="22">
        <v>2</v>
      </c>
      <c r="G248" s="21" t="s">
        <v>118</v>
      </c>
      <c r="H248" s="22">
        <v>8</v>
      </c>
      <c r="I248" s="19"/>
      <c r="J248" s="4" t="str">
        <f t="shared" si="9"/>
        <v>BO070</v>
      </c>
      <c r="K248" s="6" t="str">
        <f>IFERROR(VLOOKUP(J248,'Inadimplencia - FEV 2025'!$A$5:$E$85,4,0),"0")</f>
        <v>0</v>
      </c>
      <c r="L248" s="6" t="str">
        <f>IFERROR(VLOOKUP(J248,'Inadimplencia - Out 2025'!$A$5:$E$85,4,0),"0")</f>
        <v>0</v>
      </c>
      <c r="M248" s="31">
        <f t="shared" si="8"/>
        <v>0</v>
      </c>
      <c r="N248" s="5"/>
    </row>
    <row r="249" spans="1:14" x14ac:dyDescent="0.25">
      <c r="A249" s="38"/>
      <c r="B249" s="20" t="s">
        <v>560</v>
      </c>
      <c r="C249" s="17" t="s">
        <v>432</v>
      </c>
      <c r="D249" s="17" t="s">
        <v>310</v>
      </c>
      <c r="E249" s="18">
        <v>71</v>
      </c>
      <c r="F249" s="18">
        <v>2</v>
      </c>
      <c r="G249" s="17" t="s">
        <v>118</v>
      </c>
      <c r="H249" s="18">
        <v>8</v>
      </c>
      <c r="I249" s="19"/>
      <c r="J249" s="4" t="str">
        <f t="shared" si="9"/>
        <v>BO071</v>
      </c>
      <c r="K249" s="6" t="str">
        <f>IFERROR(VLOOKUP(J249,'Inadimplencia - FEV 2025'!$A$5:$E$85,4,0),"0")</f>
        <v>0</v>
      </c>
      <c r="L249" s="6" t="str">
        <f>IFERROR(VLOOKUP(J249,'Inadimplencia - Out 2025'!$A$5:$E$85,4,0),"0")</f>
        <v>0</v>
      </c>
      <c r="M249" s="31">
        <f t="shared" si="8"/>
        <v>0</v>
      </c>
      <c r="N249" s="5"/>
    </row>
    <row r="250" spans="1:14" x14ac:dyDescent="0.25">
      <c r="A250" s="38"/>
      <c r="B250" s="20" t="s">
        <v>532</v>
      </c>
      <c r="C250" s="17" t="s">
        <v>314</v>
      </c>
      <c r="D250" s="17" t="s">
        <v>310</v>
      </c>
      <c r="E250" s="18">
        <v>72</v>
      </c>
      <c r="F250" s="18">
        <v>2</v>
      </c>
      <c r="G250" s="17" t="s">
        <v>133</v>
      </c>
      <c r="H250" s="18">
        <v>8</v>
      </c>
      <c r="I250" s="19"/>
      <c r="J250" s="4" t="str">
        <f t="shared" si="9"/>
        <v>BO072</v>
      </c>
      <c r="K250" s="6" t="str">
        <f>IFERROR(VLOOKUP(J250,'Inadimplencia - FEV 2025'!$A$5:$E$85,4,0),"0")</f>
        <v>0</v>
      </c>
      <c r="L250" s="6" t="str">
        <f>IFERROR(VLOOKUP(J250,'Inadimplencia - Out 2025'!$A$5:$E$85,4,0),"0")</f>
        <v>0</v>
      </c>
      <c r="M250" s="31">
        <f t="shared" si="8"/>
        <v>0</v>
      </c>
      <c r="N250" s="5"/>
    </row>
    <row r="251" spans="1:14" x14ac:dyDescent="0.25">
      <c r="A251" s="38"/>
      <c r="B251" s="20" t="s">
        <v>562</v>
      </c>
      <c r="C251" s="17" t="s">
        <v>434</v>
      </c>
      <c r="D251" s="17" t="s">
        <v>310</v>
      </c>
      <c r="E251" s="18">
        <v>73</v>
      </c>
      <c r="F251" s="18">
        <v>2</v>
      </c>
      <c r="G251" s="17" t="s">
        <v>118</v>
      </c>
      <c r="H251" s="18">
        <v>8</v>
      </c>
      <c r="I251" s="19"/>
      <c r="J251" s="4" t="str">
        <f t="shared" si="9"/>
        <v>BO073</v>
      </c>
      <c r="K251" s="6" t="str">
        <f>IFERROR(VLOOKUP(J251,'Inadimplencia - FEV 2025'!$A$5:$E$85,4,0),"0")</f>
        <v>0</v>
      </c>
      <c r="L251" s="6" t="str">
        <f>IFERROR(VLOOKUP(J251,'Inadimplencia - Out 2025'!$A$5:$E$85,4,0),"0")</f>
        <v>0</v>
      </c>
      <c r="M251" s="31">
        <f t="shared" si="8"/>
        <v>0</v>
      </c>
      <c r="N251" s="5"/>
    </row>
    <row r="252" spans="1:14" x14ac:dyDescent="0.25">
      <c r="A252" s="38"/>
      <c r="B252" s="16" t="s">
        <v>564</v>
      </c>
      <c r="C252" s="21" t="s">
        <v>436</v>
      </c>
      <c r="D252" s="21" t="s">
        <v>310</v>
      </c>
      <c r="E252" s="22">
        <v>74</v>
      </c>
      <c r="F252" s="22">
        <v>2</v>
      </c>
      <c r="G252" s="21" t="s">
        <v>118</v>
      </c>
      <c r="H252" s="22">
        <v>8</v>
      </c>
      <c r="I252" s="19"/>
      <c r="J252" s="4" t="str">
        <f t="shared" si="9"/>
        <v>BO074</v>
      </c>
      <c r="K252" s="6" t="str">
        <f>IFERROR(VLOOKUP(J252,'Inadimplencia - FEV 2025'!$A$5:$E$85,4,0),"0")</f>
        <v>0</v>
      </c>
      <c r="L252" s="6" t="str">
        <f>IFERROR(VLOOKUP(J252,'Inadimplencia - Out 2025'!$A$5:$E$85,4,0),"0")</f>
        <v>0</v>
      </c>
      <c r="M252" s="31">
        <f t="shared" si="8"/>
        <v>0</v>
      </c>
      <c r="N252" s="5"/>
    </row>
    <row r="253" spans="1:14" x14ac:dyDescent="0.25">
      <c r="A253" s="38"/>
      <c r="B253" s="20" t="s">
        <v>566</v>
      </c>
      <c r="C253" s="17" t="s">
        <v>410</v>
      </c>
      <c r="D253" s="17" t="s">
        <v>310</v>
      </c>
      <c r="E253" s="18">
        <v>75</v>
      </c>
      <c r="F253" s="18">
        <v>2</v>
      </c>
      <c r="G253" s="17" t="s">
        <v>133</v>
      </c>
      <c r="H253" s="18">
        <v>8</v>
      </c>
      <c r="I253" s="19"/>
      <c r="J253" s="4" t="str">
        <f t="shared" si="9"/>
        <v>BO075</v>
      </c>
      <c r="K253" s="6" t="str">
        <f>IFERROR(VLOOKUP(J253,'Inadimplencia - FEV 2025'!$A$5:$E$85,4,0),"0")</f>
        <v>0</v>
      </c>
      <c r="L253" s="6" t="str">
        <f>IFERROR(VLOOKUP(J253,'Inadimplencia - Out 2025'!$A$5:$E$85,4,0),"0")</f>
        <v>0</v>
      </c>
      <c r="M253" s="31">
        <f t="shared" si="8"/>
        <v>0</v>
      </c>
      <c r="N253" s="5"/>
    </row>
    <row r="254" spans="1:14" x14ac:dyDescent="0.25">
      <c r="A254" s="38"/>
      <c r="B254" s="16" t="s">
        <v>568</v>
      </c>
      <c r="C254" s="17" t="s">
        <v>438</v>
      </c>
      <c r="D254" s="17" t="s">
        <v>310</v>
      </c>
      <c r="E254" s="18">
        <v>76</v>
      </c>
      <c r="F254" s="18">
        <v>4</v>
      </c>
      <c r="G254" s="17" t="s">
        <v>118</v>
      </c>
      <c r="H254" s="18">
        <v>10</v>
      </c>
      <c r="I254" s="19"/>
      <c r="J254" s="4" t="str">
        <f t="shared" si="9"/>
        <v>BO076</v>
      </c>
      <c r="K254" s="6" t="str">
        <f>IFERROR(VLOOKUP(J254,'Inadimplencia - FEV 2025'!$A$5:$E$85,4,0),"0")</f>
        <v>0</v>
      </c>
      <c r="L254" s="6" t="str">
        <f>IFERROR(VLOOKUP(J254,'Inadimplencia - Out 2025'!$A$5:$E$85,4,0),"0")</f>
        <v>0</v>
      </c>
      <c r="M254" s="31">
        <f t="shared" si="8"/>
        <v>0</v>
      </c>
      <c r="N254" s="5"/>
    </row>
    <row r="255" spans="1:14" ht="25.5" x14ac:dyDescent="0.25">
      <c r="A255" s="38"/>
      <c r="B255" s="16" t="s">
        <v>335</v>
      </c>
      <c r="C255" s="21" t="s">
        <v>440</v>
      </c>
      <c r="D255" s="21" t="s">
        <v>310</v>
      </c>
      <c r="E255" s="22">
        <v>77</v>
      </c>
      <c r="F255" s="22">
        <v>2</v>
      </c>
      <c r="G255" s="21" t="s">
        <v>118</v>
      </c>
      <c r="H255" s="22">
        <v>8</v>
      </c>
      <c r="I255" s="19"/>
      <c r="J255" s="4" t="str">
        <f t="shared" si="9"/>
        <v>BO077</v>
      </c>
      <c r="K255" s="6" t="str">
        <f>IFERROR(VLOOKUP(J255,'Inadimplencia - FEV 2025'!$A$5:$E$85,4,0),"0")</f>
        <v>0</v>
      </c>
      <c r="L255" s="6" t="str">
        <f>IFERROR(VLOOKUP(J255,'Inadimplencia - Out 2025'!$A$5:$E$85,4,0),"0")</f>
        <v>0</v>
      </c>
      <c r="M255" s="31">
        <f t="shared" si="8"/>
        <v>0</v>
      </c>
      <c r="N255" s="5"/>
    </row>
    <row r="256" spans="1:14" x14ac:dyDescent="0.25">
      <c r="A256" s="38"/>
      <c r="B256" s="16" t="s">
        <v>570</v>
      </c>
      <c r="C256" s="17" t="s">
        <v>442</v>
      </c>
      <c r="D256" s="17" t="s">
        <v>310</v>
      </c>
      <c r="E256" s="18">
        <v>79</v>
      </c>
      <c r="F256" s="18">
        <v>2</v>
      </c>
      <c r="G256" s="17" t="s">
        <v>118</v>
      </c>
      <c r="H256" s="18">
        <v>8</v>
      </c>
      <c r="I256" s="19"/>
      <c r="J256" s="4" t="str">
        <f t="shared" si="9"/>
        <v>BO079</v>
      </c>
      <c r="K256" s="6" t="str">
        <f>IFERROR(VLOOKUP(J256,'Inadimplencia - FEV 2025'!$A$5:$E$85,4,0),"0")</f>
        <v>0</v>
      </c>
      <c r="L256" s="6" t="str">
        <f>IFERROR(VLOOKUP(J256,'Inadimplencia - Out 2025'!$A$5:$E$85,4,0),"0")</f>
        <v>0</v>
      </c>
      <c r="M256" s="31">
        <f t="shared" si="8"/>
        <v>0</v>
      </c>
      <c r="N256" s="5"/>
    </row>
    <row r="257" spans="1:14" x14ac:dyDescent="0.25">
      <c r="A257" s="38"/>
      <c r="B257" s="16" t="s">
        <v>572</v>
      </c>
      <c r="C257" s="21" t="s">
        <v>444</v>
      </c>
      <c r="D257" s="21" t="s">
        <v>310</v>
      </c>
      <c r="E257" s="22">
        <v>80</v>
      </c>
      <c r="F257" s="22">
        <v>2</v>
      </c>
      <c r="G257" s="21" t="s">
        <v>118</v>
      </c>
      <c r="H257" s="22">
        <v>8</v>
      </c>
      <c r="I257" s="19"/>
      <c r="J257" s="4" t="str">
        <f t="shared" ref="J257:J283" si="10">"BO" &amp; TEXT(E257, "000")</f>
        <v>BO080</v>
      </c>
      <c r="K257" s="6" t="str">
        <f>IFERROR(VLOOKUP(J257,'Inadimplencia - FEV 2025'!$A$5:$E$85,4,0),"0")</f>
        <v>0</v>
      </c>
      <c r="L257" s="6" t="str">
        <f>IFERROR(VLOOKUP(J257,'Inadimplencia - Out 2025'!$A$5:$E$85,4,0),"0")</f>
        <v>0</v>
      </c>
      <c r="M257" s="31">
        <f t="shared" si="8"/>
        <v>0</v>
      </c>
      <c r="N257" s="5"/>
    </row>
    <row r="258" spans="1:14" x14ac:dyDescent="0.25">
      <c r="A258" s="38"/>
      <c r="B258" s="16" t="s">
        <v>574</v>
      </c>
      <c r="C258" s="17" t="s">
        <v>446</v>
      </c>
      <c r="D258" s="17" t="s">
        <v>310</v>
      </c>
      <c r="E258" s="18">
        <v>81</v>
      </c>
      <c r="F258" s="18">
        <v>2</v>
      </c>
      <c r="G258" s="17" t="s">
        <v>118</v>
      </c>
      <c r="H258" s="18">
        <v>8</v>
      </c>
      <c r="I258" s="19"/>
      <c r="J258" s="4" t="str">
        <f t="shared" si="10"/>
        <v>BO081</v>
      </c>
      <c r="K258" s="6" t="str">
        <f>IFERROR(VLOOKUP(J258,'Inadimplencia - FEV 2025'!$A$5:$E$85,4,0),"0")</f>
        <v>0</v>
      </c>
      <c r="L258" s="6" t="str">
        <f>IFERROR(VLOOKUP(J258,'Inadimplencia - Out 2025'!$A$5:$E$85,4,0),"0")</f>
        <v>0</v>
      </c>
      <c r="M258" s="31">
        <f t="shared" si="8"/>
        <v>0</v>
      </c>
      <c r="N258" s="5"/>
    </row>
    <row r="259" spans="1:14" x14ac:dyDescent="0.25">
      <c r="A259" s="38"/>
      <c r="B259" s="20" t="s">
        <v>576</v>
      </c>
      <c r="C259" s="17" t="s">
        <v>448</v>
      </c>
      <c r="D259" s="17" t="s">
        <v>310</v>
      </c>
      <c r="E259" s="18">
        <v>82</v>
      </c>
      <c r="F259" s="18">
        <v>2</v>
      </c>
      <c r="G259" s="17" t="s">
        <v>118</v>
      </c>
      <c r="H259" s="18">
        <v>8</v>
      </c>
      <c r="I259" s="19"/>
      <c r="J259" s="4" t="str">
        <f t="shared" si="10"/>
        <v>BO082</v>
      </c>
      <c r="K259" s="6" t="str">
        <f>IFERROR(VLOOKUP(J259,'Inadimplencia - FEV 2025'!$A$5:$E$85,4,0),"0")</f>
        <v>0</v>
      </c>
      <c r="L259" s="6" t="str">
        <f>IFERROR(VLOOKUP(J259,'Inadimplencia - Out 2025'!$A$5:$E$85,4,0),"0")</f>
        <v>0</v>
      </c>
      <c r="M259" s="31">
        <f t="shared" si="8"/>
        <v>0</v>
      </c>
      <c r="N259" s="5"/>
    </row>
    <row r="260" spans="1:14" x14ac:dyDescent="0.25">
      <c r="A260" s="38"/>
      <c r="B260" s="16" t="s">
        <v>578</v>
      </c>
      <c r="C260" s="21" t="s">
        <v>450</v>
      </c>
      <c r="D260" s="21" t="s">
        <v>310</v>
      </c>
      <c r="E260" s="22">
        <v>83</v>
      </c>
      <c r="F260" s="22">
        <v>2</v>
      </c>
      <c r="G260" s="21" t="s">
        <v>118</v>
      </c>
      <c r="H260" s="22">
        <v>8</v>
      </c>
      <c r="I260" s="19"/>
      <c r="J260" s="4" t="str">
        <f t="shared" si="10"/>
        <v>BO083</v>
      </c>
      <c r="K260" s="6" t="str">
        <f>IFERROR(VLOOKUP(J260,'Inadimplencia - FEV 2025'!$A$5:$E$85,4,0),"0")</f>
        <v>0</v>
      </c>
      <c r="L260" s="6" t="str">
        <f>IFERROR(VLOOKUP(J260,'Inadimplencia - Out 2025'!$A$5:$E$85,4,0),"0")</f>
        <v>0</v>
      </c>
      <c r="M260" s="31">
        <f t="shared" si="8"/>
        <v>0</v>
      </c>
      <c r="N260" s="5"/>
    </row>
    <row r="261" spans="1:14" ht="25.5" x14ac:dyDescent="0.25">
      <c r="A261" s="38"/>
      <c r="B261" s="16" t="s">
        <v>580</v>
      </c>
      <c r="C261" s="21" t="s">
        <v>452</v>
      </c>
      <c r="D261" s="21" t="s">
        <v>310</v>
      </c>
      <c r="E261" s="22">
        <v>84</v>
      </c>
      <c r="F261" s="22">
        <v>2</v>
      </c>
      <c r="G261" s="21" t="s">
        <v>118</v>
      </c>
      <c r="H261" s="22">
        <v>8</v>
      </c>
      <c r="I261" s="19"/>
      <c r="J261" s="4" t="str">
        <f t="shared" si="10"/>
        <v>BO084</v>
      </c>
      <c r="K261" s="6" t="str">
        <f>IFERROR(VLOOKUP(J261,'Inadimplencia - FEV 2025'!$A$5:$E$85,4,0),"0")</f>
        <v>0</v>
      </c>
      <c r="L261" s="6" t="str">
        <f>IFERROR(VLOOKUP(J261,'Inadimplencia - Out 2025'!$A$5:$E$85,4,0),"0")</f>
        <v>0</v>
      </c>
      <c r="M261" s="31">
        <f t="shared" si="8"/>
        <v>0</v>
      </c>
      <c r="N261" s="5"/>
    </row>
    <row r="262" spans="1:14" x14ac:dyDescent="0.25">
      <c r="A262" s="38"/>
      <c r="B262" s="16" t="s">
        <v>582</v>
      </c>
      <c r="C262" s="21" t="s">
        <v>454</v>
      </c>
      <c r="D262" s="21" t="s">
        <v>310</v>
      </c>
      <c r="E262" s="22">
        <v>85</v>
      </c>
      <c r="F262" s="22">
        <v>2</v>
      </c>
      <c r="G262" s="21" t="s">
        <v>118</v>
      </c>
      <c r="H262" s="22">
        <v>8</v>
      </c>
      <c r="I262" s="19"/>
      <c r="J262" s="4" t="str">
        <f t="shared" si="10"/>
        <v>BO085</v>
      </c>
      <c r="K262" s="6" t="str">
        <f>IFERROR(VLOOKUP(J262,'Inadimplencia - FEV 2025'!$A$5:$E$85,4,0),"0")</f>
        <v>0</v>
      </c>
      <c r="L262" s="6" t="str">
        <f>IFERROR(VLOOKUP(J262,'Inadimplencia - Out 2025'!$A$5:$E$85,4,0),"0")</f>
        <v>0</v>
      </c>
      <c r="M262" s="31">
        <f t="shared" si="8"/>
        <v>0</v>
      </c>
      <c r="N262" s="5"/>
    </row>
    <row r="263" spans="1:14" x14ac:dyDescent="0.25">
      <c r="A263" s="38"/>
      <c r="B263" s="20" t="s">
        <v>584</v>
      </c>
      <c r="C263" s="21" t="s">
        <v>458</v>
      </c>
      <c r="D263" s="21" t="s">
        <v>310</v>
      </c>
      <c r="E263" s="22">
        <v>87</v>
      </c>
      <c r="F263" s="22">
        <v>2</v>
      </c>
      <c r="G263" s="21" t="s">
        <v>118</v>
      </c>
      <c r="H263" s="22">
        <v>8</v>
      </c>
      <c r="I263" s="19"/>
      <c r="J263" s="4" t="str">
        <f t="shared" si="10"/>
        <v>BO087</v>
      </c>
      <c r="K263" s="6" t="str">
        <f>IFERROR(VLOOKUP(J263,'Inadimplencia - FEV 2025'!$A$5:$E$85,4,0),"0")</f>
        <v>0</v>
      </c>
      <c r="L263" s="6" t="str">
        <f>IFERROR(VLOOKUP(J263,'Inadimplencia - Out 2025'!$A$5:$E$85,4,0),"0")</f>
        <v>0</v>
      </c>
      <c r="M263" s="31">
        <f t="shared" ref="M263:M326" si="11">L263-K263</f>
        <v>0</v>
      </c>
      <c r="N263" s="5"/>
    </row>
    <row r="264" spans="1:14" x14ac:dyDescent="0.25">
      <c r="A264" s="38"/>
      <c r="B264" s="16" t="s">
        <v>586</v>
      </c>
      <c r="C264" s="17" t="s">
        <v>460</v>
      </c>
      <c r="D264" s="17" t="s">
        <v>310</v>
      </c>
      <c r="E264" s="18">
        <v>88</v>
      </c>
      <c r="F264" s="18">
        <v>2</v>
      </c>
      <c r="G264" s="17" t="s">
        <v>118</v>
      </c>
      <c r="H264" s="18">
        <v>8</v>
      </c>
      <c r="I264" s="19"/>
      <c r="J264" s="4" t="str">
        <f t="shared" si="10"/>
        <v>BO088</v>
      </c>
      <c r="K264" s="6" t="str">
        <f>IFERROR(VLOOKUP(J264,'Inadimplencia - FEV 2025'!$A$5:$E$85,4,0),"0")</f>
        <v>0</v>
      </c>
      <c r="L264" s="6" t="str">
        <f>IFERROR(VLOOKUP(J264,'Inadimplencia - Out 2025'!$A$5:$E$85,4,0),"0")</f>
        <v>0</v>
      </c>
      <c r="M264" s="31">
        <f t="shared" si="11"/>
        <v>0</v>
      </c>
      <c r="N264" s="5"/>
    </row>
    <row r="265" spans="1:14" x14ac:dyDescent="0.25">
      <c r="A265" s="38"/>
      <c r="B265" s="20" t="s">
        <v>588</v>
      </c>
      <c r="C265" s="21" t="s">
        <v>462</v>
      </c>
      <c r="D265" s="21" t="s">
        <v>310</v>
      </c>
      <c r="E265" s="22">
        <v>89</v>
      </c>
      <c r="F265" s="22">
        <v>2</v>
      </c>
      <c r="G265" s="21" t="s">
        <v>118</v>
      </c>
      <c r="H265" s="22">
        <v>8</v>
      </c>
      <c r="I265" s="19"/>
      <c r="J265" s="4" t="str">
        <f t="shared" si="10"/>
        <v>BO089</v>
      </c>
      <c r="K265" s="6" t="str">
        <f>IFERROR(VLOOKUP(J265,'Inadimplencia - FEV 2025'!$A$5:$E$85,4,0),"0")</f>
        <v>0</v>
      </c>
      <c r="L265" s="6" t="str">
        <f>IFERROR(VLOOKUP(J265,'Inadimplencia - Out 2025'!$A$5:$E$85,4,0),"0")</f>
        <v>0</v>
      </c>
      <c r="M265" s="31">
        <f t="shared" si="11"/>
        <v>0</v>
      </c>
      <c r="N265" s="5"/>
    </row>
    <row r="266" spans="1:14" x14ac:dyDescent="0.25">
      <c r="A266" s="38"/>
      <c r="B266" s="20" t="s">
        <v>590</v>
      </c>
      <c r="C266" s="21" t="s">
        <v>464</v>
      </c>
      <c r="D266" s="21" t="s">
        <v>310</v>
      </c>
      <c r="E266" s="22">
        <v>90</v>
      </c>
      <c r="F266" s="22">
        <v>2</v>
      </c>
      <c r="G266" s="21" t="s">
        <v>118</v>
      </c>
      <c r="H266" s="22">
        <v>8</v>
      </c>
      <c r="I266" s="19"/>
      <c r="J266" s="4" t="str">
        <f t="shared" si="10"/>
        <v>BO090</v>
      </c>
      <c r="K266" s="6" t="str">
        <f>IFERROR(VLOOKUP(J266,'Inadimplencia - FEV 2025'!$A$5:$E$85,4,0),"0")</f>
        <v>0</v>
      </c>
      <c r="L266" s="6" t="str">
        <f>IFERROR(VLOOKUP(J266,'Inadimplencia - Out 2025'!$A$5:$E$85,4,0),"0")</f>
        <v>0</v>
      </c>
      <c r="M266" s="31">
        <f t="shared" si="11"/>
        <v>0</v>
      </c>
      <c r="N266" s="5"/>
    </row>
    <row r="267" spans="1:14" x14ac:dyDescent="0.25">
      <c r="A267" s="38"/>
      <c r="B267" s="16" t="s">
        <v>592</v>
      </c>
      <c r="C267" s="17" t="s">
        <v>466</v>
      </c>
      <c r="D267" s="17" t="s">
        <v>310</v>
      </c>
      <c r="E267" s="18">
        <v>91</v>
      </c>
      <c r="F267" s="18">
        <v>2</v>
      </c>
      <c r="G267" s="17" t="s">
        <v>118</v>
      </c>
      <c r="H267" s="18">
        <v>8</v>
      </c>
      <c r="I267" s="19"/>
      <c r="J267" s="4" t="str">
        <f t="shared" si="10"/>
        <v>BO091</v>
      </c>
      <c r="K267" s="6" t="str">
        <f>IFERROR(VLOOKUP(J267,'Inadimplencia - FEV 2025'!$A$5:$E$85,4,0),"0")</f>
        <v>0</v>
      </c>
      <c r="L267" s="6" t="str">
        <f>IFERROR(VLOOKUP(J267,'Inadimplencia - Out 2025'!$A$5:$E$85,4,0),"0")</f>
        <v>0</v>
      </c>
      <c r="M267" s="31">
        <f t="shared" si="11"/>
        <v>0</v>
      </c>
      <c r="N267" s="5"/>
    </row>
    <row r="268" spans="1:14" x14ac:dyDescent="0.25">
      <c r="A268" s="38"/>
      <c r="B268" s="20" t="s">
        <v>592</v>
      </c>
      <c r="C268" s="17" t="s">
        <v>468</v>
      </c>
      <c r="D268" s="17" t="s">
        <v>310</v>
      </c>
      <c r="E268" s="18">
        <v>92</v>
      </c>
      <c r="F268" s="18">
        <v>2</v>
      </c>
      <c r="G268" s="17" t="s">
        <v>118</v>
      </c>
      <c r="H268" s="18">
        <v>8</v>
      </c>
      <c r="I268" s="19"/>
      <c r="J268" s="4" t="str">
        <f t="shared" si="10"/>
        <v>BO092</v>
      </c>
      <c r="K268" s="6" t="str">
        <f>IFERROR(VLOOKUP(J268,'Inadimplencia - FEV 2025'!$A$5:$E$85,4,0),"0")</f>
        <v>0</v>
      </c>
      <c r="L268" s="6" t="str">
        <f>IFERROR(VLOOKUP(J268,'Inadimplencia - Out 2025'!$A$5:$E$85,4,0),"0")</f>
        <v>0</v>
      </c>
      <c r="M268" s="31">
        <f t="shared" si="11"/>
        <v>0</v>
      </c>
      <c r="N268" s="5"/>
    </row>
    <row r="269" spans="1:14" x14ac:dyDescent="0.25">
      <c r="A269" s="38"/>
      <c r="B269" s="16" t="s">
        <v>594</v>
      </c>
      <c r="C269" s="17" t="s">
        <v>470</v>
      </c>
      <c r="D269" s="17" t="s">
        <v>310</v>
      </c>
      <c r="E269" s="18">
        <v>93</v>
      </c>
      <c r="F269" s="18">
        <v>2</v>
      </c>
      <c r="G269" s="17" t="s">
        <v>118</v>
      </c>
      <c r="H269" s="18">
        <v>8</v>
      </c>
      <c r="I269" s="19"/>
      <c r="J269" s="4" t="str">
        <f t="shared" si="10"/>
        <v>BO093</v>
      </c>
      <c r="K269" s="6" t="str">
        <f>IFERROR(VLOOKUP(J269,'Inadimplencia - FEV 2025'!$A$5:$E$85,4,0),"0")</f>
        <v>0</v>
      </c>
      <c r="L269" s="6" t="str">
        <f>IFERROR(VLOOKUP(J269,'Inadimplencia - Out 2025'!$A$5:$E$85,4,0),"0")</f>
        <v>0</v>
      </c>
      <c r="M269" s="31">
        <f t="shared" si="11"/>
        <v>0</v>
      </c>
      <c r="N269" s="5"/>
    </row>
    <row r="270" spans="1:14" x14ac:dyDescent="0.25">
      <c r="A270" s="38"/>
      <c r="B270" s="16" t="s">
        <v>596</v>
      </c>
      <c r="C270" s="17" t="s">
        <v>472</v>
      </c>
      <c r="D270" s="17" t="s">
        <v>310</v>
      </c>
      <c r="E270" s="18">
        <v>94</v>
      </c>
      <c r="F270" s="18">
        <v>2</v>
      </c>
      <c r="G270" s="17" t="s">
        <v>118</v>
      </c>
      <c r="H270" s="18">
        <v>8</v>
      </c>
      <c r="I270" s="19"/>
      <c r="J270" s="4" t="str">
        <f t="shared" si="10"/>
        <v>BO094</v>
      </c>
      <c r="K270" s="6" t="str">
        <f>IFERROR(VLOOKUP(J270,'Inadimplencia - FEV 2025'!$A$5:$E$85,4,0),"0")</f>
        <v>0</v>
      </c>
      <c r="L270" s="6" t="str">
        <f>IFERROR(VLOOKUP(J270,'Inadimplencia - Out 2025'!$A$5:$E$85,4,0),"0")</f>
        <v>0</v>
      </c>
      <c r="M270" s="31">
        <f t="shared" si="11"/>
        <v>0</v>
      </c>
      <c r="N270" s="5"/>
    </row>
    <row r="271" spans="1:14" x14ac:dyDescent="0.25">
      <c r="A271" s="38"/>
      <c r="B271" s="20" t="s">
        <v>212</v>
      </c>
      <c r="C271" s="17" t="s">
        <v>474</v>
      </c>
      <c r="D271" s="17" t="s">
        <v>310</v>
      </c>
      <c r="E271" s="18">
        <v>95</v>
      </c>
      <c r="F271" s="18">
        <v>2</v>
      </c>
      <c r="G271" s="17" t="s">
        <v>118</v>
      </c>
      <c r="H271" s="18">
        <v>8</v>
      </c>
      <c r="I271" s="19"/>
      <c r="J271" s="4" t="str">
        <f t="shared" si="10"/>
        <v>BO095</v>
      </c>
      <c r="K271" s="6" t="str">
        <f>IFERROR(VLOOKUP(J271,'Inadimplencia - FEV 2025'!$A$5:$E$85,4,0),"0")</f>
        <v>0</v>
      </c>
      <c r="L271" s="6" t="str">
        <f>IFERROR(VLOOKUP(J271,'Inadimplencia - Out 2025'!$A$5:$E$85,4,0),"0")</f>
        <v>0</v>
      </c>
      <c r="M271" s="31">
        <f t="shared" si="11"/>
        <v>0</v>
      </c>
      <c r="N271" s="5"/>
    </row>
    <row r="272" spans="1:14" x14ac:dyDescent="0.25">
      <c r="A272" s="38"/>
      <c r="B272" s="16" t="s">
        <v>453</v>
      </c>
      <c r="C272" s="17" t="s">
        <v>476</v>
      </c>
      <c r="D272" s="17" t="s">
        <v>310</v>
      </c>
      <c r="E272" s="18">
        <v>96</v>
      </c>
      <c r="F272" s="18">
        <v>2</v>
      </c>
      <c r="G272" s="17" t="s">
        <v>118</v>
      </c>
      <c r="H272" s="18">
        <v>8</v>
      </c>
      <c r="I272" s="19"/>
      <c r="J272" s="4" t="str">
        <f t="shared" si="10"/>
        <v>BO096</v>
      </c>
      <c r="K272" s="6" t="str">
        <f>IFERROR(VLOOKUP(J272,'Inadimplencia - FEV 2025'!$A$5:$E$85,4,0),"0")</f>
        <v>0</v>
      </c>
      <c r="L272" s="6" t="str">
        <f>IFERROR(VLOOKUP(J272,'Inadimplencia - Out 2025'!$A$5:$E$85,4,0),"0")</f>
        <v>0</v>
      </c>
      <c r="M272" s="31">
        <f t="shared" si="11"/>
        <v>0</v>
      </c>
      <c r="N272" s="5"/>
    </row>
    <row r="273" spans="1:14" x14ac:dyDescent="0.25">
      <c r="A273" s="38"/>
      <c r="B273" s="20" t="s">
        <v>598</v>
      </c>
      <c r="C273" s="21" t="s">
        <v>478</v>
      </c>
      <c r="D273" s="21" t="s">
        <v>310</v>
      </c>
      <c r="E273" s="22">
        <v>97</v>
      </c>
      <c r="F273" s="22">
        <v>2</v>
      </c>
      <c r="G273" s="21" t="s">
        <v>118</v>
      </c>
      <c r="H273" s="22">
        <v>8</v>
      </c>
      <c r="I273" s="19"/>
      <c r="J273" s="4" t="str">
        <f t="shared" si="10"/>
        <v>BO097</v>
      </c>
      <c r="K273" s="6" t="str">
        <f>IFERROR(VLOOKUP(J273,'Inadimplencia - FEV 2025'!$A$5:$E$85,4,0),"0")</f>
        <v>0</v>
      </c>
      <c r="L273" s="6" t="str">
        <f>IFERROR(VLOOKUP(J273,'Inadimplencia - Out 2025'!$A$5:$E$85,4,0),"0")</f>
        <v>0</v>
      </c>
      <c r="M273" s="31">
        <f t="shared" si="11"/>
        <v>0</v>
      </c>
      <c r="N273" s="5"/>
    </row>
    <row r="274" spans="1:14" x14ac:dyDescent="0.25">
      <c r="A274" s="38"/>
      <c r="B274" s="20" t="s">
        <v>600</v>
      </c>
      <c r="C274" s="21" t="s">
        <v>480</v>
      </c>
      <c r="D274" s="21" t="s">
        <v>310</v>
      </c>
      <c r="E274" s="22">
        <v>98</v>
      </c>
      <c r="F274" s="22">
        <v>2</v>
      </c>
      <c r="G274" s="21" t="s">
        <v>118</v>
      </c>
      <c r="H274" s="22">
        <v>8</v>
      </c>
      <c r="I274" s="19"/>
      <c r="J274" s="4" t="str">
        <f t="shared" si="10"/>
        <v>BO098</v>
      </c>
      <c r="K274" s="6" t="str">
        <f>IFERROR(VLOOKUP(J274,'Inadimplencia - FEV 2025'!$A$5:$E$85,4,0),"0")</f>
        <v>0</v>
      </c>
      <c r="L274" s="6" t="str">
        <f>IFERROR(VLOOKUP(J274,'Inadimplencia - Out 2025'!$A$5:$E$85,4,0),"0")</f>
        <v>0</v>
      </c>
      <c r="M274" s="31">
        <f t="shared" si="11"/>
        <v>0</v>
      </c>
      <c r="N274" s="5"/>
    </row>
    <row r="275" spans="1:14" x14ac:dyDescent="0.25">
      <c r="A275" s="38"/>
      <c r="B275" s="16" t="s">
        <v>602</v>
      </c>
      <c r="C275" s="17" t="s">
        <v>482</v>
      </c>
      <c r="D275" s="17" t="s">
        <v>310</v>
      </c>
      <c r="E275" s="18">
        <v>99</v>
      </c>
      <c r="F275" s="18">
        <v>2</v>
      </c>
      <c r="G275" s="17" t="s">
        <v>118</v>
      </c>
      <c r="H275" s="18">
        <v>8</v>
      </c>
      <c r="I275" s="19"/>
      <c r="J275" s="4" t="str">
        <f t="shared" si="10"/>
        <v>BO099</v>
      </c>
      <c r="K275" s="6" t="str">
        <f>IFERROR(VLOOKUP(J275,'Inadimplencia - FEV 2025'!$A$5:$E$85,4,0),"0")</f>
        <v>0</v>
      </c>
      <c r="L275" s="6" t="str">
        <f>IFERROR(VLOOKUP(J275,'Inadimplencia - Out 2025'!$A$5:$E$85,4,0),"0")</f>
        <v>0</v>
      </c>
      <c r="M275" s="31">
        <f t="shared" si="11"/>
        <v>0</v>
      </c>
      <c r="N275" s="5"/>
    </row>
    <row r="276" spans="1:14" x14ac:dyDescent="0.25">
      <c r="A276" s="38"/>
      <c r="B276" s="20" t="s">
        <v>604</v>
      </c>
      <c r="C276" s="17" t="s">
        <v>484</v>
      </c>
      <c r="D276" s="17" t="s">
        <v>310</v>
      </c>
      <c r="E276" s="18">
        <v>100</v>
      </c>
      <c r="F276" s="18">
        <v>2</v>
      </c>
      <c r="G276" s="17" t="s">
        <v>118</v>
      </c>
      <c r="H276" s="18">
        <v>8</v>
      </c>
      <c r="I276" s="19"/>
      <c r="J276" s="4" t="str">
        <f t="shared" si="10"/>
        <v>BO100</v>
      </c>
      <c r="K276" s="6" t="str">
        <f>IFERROR(VLOOKUP(J276,'Inadimplencia - FEV 2025'!$A$5:$E$85,4,0),"0")</f>
        <v>0</v>
      </c>
      <c r="L276" s="6" t="str">
        <f>IFERROR(VLOOKUP(J276,'Inadimplencia - Out 2025'!$A$5:$E$85,4,0),"0")</f>
        <v>0</v>
      </c>
      <c r="M276" s="31">
        <f t="shared" si="11"/>
        <v>0</v>
      </c>
      <c r="N276" s="5"/>
    </row>
    <row r="277" spans="1:14" x14ac:dyDescent="0.25">
      <c r="A277" s="38"/>
      <c r="B277" s="16" t="s">
        <v>606</v>
      </c>
      <c r="C277" s="17" t="s">
        <v>486</v>
      </c>
      <c r="D277" s="17" t="s">
        <v>310</v>
      </c>
      <c r="E277" s="18">
        <v>101</v>
      </c>
      <c r="F277" s="18">
        <v>2</v>
      </c>
      <c r="G277" s="17" t="s">
        <v>118</v>
      </c>
      <c r="H277" s="18">
        <v>8</v>
      </c>
      <c r="I277" s="19"/>
      <c r="J277" s="4" t="str">
        <f t="shared" si="10"/>
        <v>BO101</v>
      </c>
      <c r="K277" s="6" t="str">
        <f>IFERROR(VLOOKUP(J277,'Inadimplencia - FEV 2025'!$A$5:$E$85,4,0),"0")</f>
        <v>0</v>
      </c>
      <c r="L277" s="6" t="str">
        <f>IFERROR(VLOOKUP(J277,'Inadimplencia - Out 2025'!$A$5:$E$85,4,0),"0")</f>
        <v>0</v>
      </c>
      <c r="M277" s="31">
        <f t="shared" si="11"/>
        <v>0</v>
      </c>
      <c r="N277" s="5"/>
    </row>
    <row r="278" spans="1:14" x14ac:dyDescent="0.25">
      <c r="A278" s="38"/>
      <c r="B278" s="20" t="s">
        <v>608</v>
      </c>
      <c r="C278" s="17" t="s">
        <v>488</v>
      </c>
      <c r="D278" s="17" t="s">
        <v>310</v>
      </c>
      <c r="E278" s="18">
        <v>102</v>
      </c>
      <c r="F278" s="18">
        <v>2</v>
      </c>
      <c r="G278" s="17" t="s">
        <v>118</v>
      </c>
      <c r="H278" s="18">
        <v>8</v>
      </c>
      <c r="I278" s="19"/>
      <c r="J278" s="4" t="str">
        <f t="shared" si="10"/>
        <v>BO102</v>
      </c>
      <c r="K278" s="6" t="str">
        <f>IFERROR(VLOOKUP(J278,'Inadimplencia - FEV 2025'!$A$5:$E$85,4,0),"0")</f>
        <v>0</v>
      </c>
      <c r="L278" s="6" t="str">
        <f>IFERROR(VLOOKUP(J278,'Inadimplencia - Out 2025'!$A$5:$E$85,4,0),"0")</f>
        <v>0</v>
      </c>
      <c r="M278" s="31">
        <f t="shared" si="11"/>
        <v>0</v>
      </c>
      <c r="N278" s="5"/>
    </row>
    <row r="279" spans="1:14" ht="25.5" x14ac:dyDescent="0.25">
      <c r="A279" s="38"/>
      <c r="B279" s="16" t="s">
        <v>610</v>
      </c>
      <c r="C279" s="21" t="s">
        <v>490</v>
      </c>
      <c r="D279" s="21" t="s">
        <v>310</v>
      </c>
      <c r="E279" s="22">
        <v>103</v>
      </c>
      <c r="F279" s="22">
        <v>2</v>
      </c>
      <c r="G279" s="21" t="s">
        <v>118</v>
      </c>
      <c r="H279" s="22">
        <v>8</v>
      </c>
      <c r="I279" s="19"/>
      <c r="J279" s="4" t="str">
        <f t="shared" si="10"/>
        <v>BO103</v>
      </c>
      <c r="K279" s="6" t="str">
        <f>IFERROR(VLOOKUP(J279,'Inadimplencia - FEV 2025'!$A$5:$E$85,4,0),"0")</f>
        <v>0</v>
      </c>
      <c r="L279" s="6" t="str">
        <f>IFERROR(VLOOKUP(J279,'Inadimplencia - Out 2025'!$A$5:$E$85,4,0),"0")</f>
        <v>0</v>
      </c>
      <c r="M279" s="31">
        <f t="shared" si="11"/>
        <v>0</v>
      </c>
      <c r="N279" s="5"/>
    </row>
    <row r="280" spans="1:14" x14ac:dyDescent="0.25">
      <c r="A280" s="38"/>
      <c r="B280" s="16" t="s">
        <v>612</v>
      </c>
      <c r="C280" s="17" t="s">
        <v>496</v>
      </c>
      <c r="D280" s="17" t="s">
        <v>310</v>
      </c>
      <c r="E280" s="18">
        <v>106</v>
      </c>
      <c r="F280" s="18">
        <v>2</v>
      </c>
      <c r="G280" s="17" t="s">
        <v>118</v>
      </c>
      <c r="H280" s="18">
        <v>8</v>
      </c>
      <c r="I280" s="19"/>
      <c r="J280" s="4" t="str">
        <f t="shared" si="10"/>
        <v>BO106</v>
      </c>
      <c r="K280" s="6" t="str">
        <f>IFERROR(VLOOKUP(J280,'Inadimplencia - FEV 2025'!$A$5:$E$85,4,0),"0")</f>
        <v>0</v>
      </c>
      <c r="L280" s="6" t="str">
        <f>IFERROR(VLOOKUP(J280,'Inadimplencia - Out 2025'!$A$5:$E$85,4,0),"0")</f>
        <v>0</v>
      </c>
      <c r="M280" s="31">
        <f t="shared" si="11"/>
        <v>0</v>
      </c>
      <c r="N280" s="5"/>
    </row>
    <row r="281" spans="1:14" x14ac:dyDescent="0.25">
      <c r="A281" s="38"/>
      <c r="B281" s="20" t="s">
        <v>614</v>
      </c>
      <c r="C281" s="21" t="s">
        <v>498</v>
      </c>
      <c r="D281" s="21" t="s">
        <v>310</v>
      </c>
      <c r="E281" s="22">
        <v>107</v>
      </c>
      <c r="F281" s="22">
        <v>2</v>
      </c>
      <c r="G281" s="21" t="s">
        <v>118</v>
      </c>
      <c r="H281" s="22">
        <v>8</v>
      </c>
      <c r="I281" s="19"/>
      <c r="J281" s="4" t="str">
        <f t="shared" si="10"/>
        <v>BO107</v>
      </c>
      <c r="K281" s="6" t="str">
        <f>IFERROR(VLOOKUP(J281,'Inadimplencia - FEV 2025'!$A$5:$E$85,4,0),"0")</f>
        <v>0</v>
      </c>
      <c r="L281" s="6" t="str">
        <f>IFERROR(VLOOKUP(J281,'Inadimplencia - Out 2025'!$A$5:$E$85,4,0),"0")</f>
        <v>0</v>
      </c>
      <c r="M281" s="31">
        <f t="shared" si="11"/>
        <v>0</v>
      </c>
      <c r="N281" s="5"/>
    </row>
    <row r="282" spans="1:14" x14ac:dyDescent="0.25">
      <c r="A282" s="38"/>
      <c r="B282" s="20" t="s">
        <v>616</v>
      </c>
      <c r="C282" s="17" t="s">
        <v>502</v>
      </c>
      <c r="D282" s="17" t="s">
        <v>310</v>
      </c>
      <c r="E282" s="18">
        <v>109</v>
      </c>
      <c r="F282" s="18">
        <v>4</v>
      </c>
      <c r="G282" s="17" t="s">
        <v>118</v>
      </c>
      <c r="H282" s="18">
        <v>8</v>
      </c>
      <c r="I282" s="19"/>
      <c r="J282" s="4" t="str">
        <f t="shared" si="10"/>
        <v>BO109</v>
      </c>
      <c r="K282" s="6" t="str">
        <f>IFERROR(VLOOKUP(J282,'Inadimplencia - FEV 2025'!$A$5:$E$85,4,0),"0")</f>
        <v>0</v>
      </c>
      <c r="L282" s="6" t="str">
        <f>IFERROR(VLOOKUP(J282,'Inadimplencia - Out 2025'!$A$5:$E$85,4,0),"0")</f>
        <v>0</v>
      </c>
      <c r="M282" s="31">
        <f t="shared" si="11"/>
        <v>0</v>
      </c>
      <c r="N282" s="5"/>
    </row>
    <row r="283" spans="1:14" x14ac:dyDescent="0.25">
      <c r="A283" s="38"/>
      <c r="B283" s="16" t="s">
        <v>618</v>
      </c>
      <c r="C283" s="21" t="s">
        <v>508</v>
      </c>
      <c r="D283" s="21" t="s">
        <v>310</v>
      </c>
      <c r="E283" s="22">
        <v>113</v>
      </c>
      <c r="F283" s="22">
        <v>2</v>
      </c>
      <c r="G283" s="21" t="s">
        <v>118</v>
      </c>
      <c r="H283" s="22">
        <v>8</v>
      </c>
      <c r="I283" s="19"/>
      <c r="J283" s="4" t="str">
        <f t="shared" si="10"/>
        <v>BO113</v>
      </c>
      <c r="K283" s="6" t="str">
        <f>IFERROR(VLOOKUP(J283,'Inadimplencia - FEV 2025'!$A$5:$E$85,4,0),"0")</f>
        <v>0</v>
      </c>
      <c r="L283" s="6" t="str">
        <f>IFERROR(VLOOKUP(J283,'Inadimplencia - Out 2025'!$A$5:$E$85,4,0),"0")</f>
        <v>0</v>
      </c>
      <c r="M283" s="31">
        <f t="shared" si="11"/>
        <v>0</v>
      </c>
      <c r="N283" s="5"/>
    </row>
    <row r="284" spans="1:14" x14ac:dyDescent="0.25">
      <c r="A284" s="38"/>
      <c r="B284" s="20" t="s">
        <v>620</v>
      </c>
      <c r="C284" s="21" t="s">
        <v>515</v>
      </c>
      <c r="D284" s="21" t="s">
        <v>513</v>
      </c>
      <c r="E284" s="22">
        <v>2</v>
      </c>
      <c r="F284" s="22">
        <v>2</v>
      </c>
      <c r="G284" s="21" t="s">
        <v>118</v>
      </c>
      <c r="H284" s="22">
        <v>8</v>
      </c>
      <c r="I284" s="19"/>
      <c r="J284" s="4" t="str">
        <f t="shared" ref="J284:J315" si="12">"GA" &amp; TEXT(E284, "000")</f>
        <v>GA002</v>
      </c>
      <c r="K284" s="6" t="str">
        <f>IFERROR(VLOOKUP(J284,'Inadimplencia - FEV 2025'!$A$5:$E$85,4,0),"0")</f>
        <v>0</v>
      </c>
      <c r="L284" s="6" t="str">
        <f>IFERROR(VLOOKUP(J284,'Inadimplencia - Out 2025'!$A$5:$E$85,4,0),"0")</f>
        <v>0</v>
      </c>
      <c r="M284" s="31">
        <f t="shared" si="11"/>
        <v>0</v>
      </c>
      <c r="N284" s="5"/>
    </row>
    <row r="285" spans="1:14" x14ac:dyDescent="0.25">
      <c r="A285" s="38"/>
      <c r="B285" s="16" t="s">
        <v>622</v>
      </c>
      <c r="C285" s="21" t="s">
        <v>521</v>
      </c>
      <c r="D285" s="21" t="s">
        <v>513</v>
      </c>
      <c r="E285" s="22">
        <v>5</v>
      </c>
      <c r="F285" s="22">
        <v>2</v>
      </c>
      <c r="G285" s="21" t="s">
        <v>118</v>
      </c>
      <c r="H285" s="22">
        <v>8</v>
      </c>
      <c r="I285" s="19"/>
      <c r="J285" s="4" t="str">
        <f t="shared" si="12"/>
        <v>GA005</v>
      </c>
      <c r="K285" s="6" t="str">
        <f>IFERROR(VLOOKUP(J285,'Inadimplencia - FEV 2025'!$A$5:$E$85,4,0),"0")</f>
        <v>0</v>
      </c>
      <c r="L285" s="6" t="str">
        <f>IFERROR(VLOOKUP(J285,'Inadimplencia - Out 2025'!$A$5:$E$85,4,0),"0")</f>
        <v>0</v>
      </c>
      <c r="M285" s="31">
        <f t="shared" si="11"/>
        <v>0</v>
      </c>
      <c r="N285" s="5"/>
    </row>
    <row r="286" spans="1:14" x14ac:dyDescent="0.25">
      <c r="A286" s="38"/>
      <c r="B286" s="16" t="s">
        <v>624</v>
      </c>
      <c r="C286" s="21" t="s">
        <v>523</v>
      </c>
      <c r="D286" s="21" t="s">
        <v>513</v>
      </c>
      <c r="E286" s="22">
        <v>6</v>
      </c>
      <c r="F286" s="22">
        <v>2</v>
      </c>
      <c r="G286" s="21" t="s">
        <v>118</v>
      </c>
      <c r="H286" s="22">
        <v>8</v>
      </c>
      <c r="I286" s="19"/>
      <c r="J286" s="4" t="str">
        <f t="shared" si="12"/>
        <v>GA006</v>
      </c>
      <c r="K286" s="6" t="str">
        <f>IFERROR(VLOOKUP(J286,'Inadimplencia - FEV 2025'!$A$5:$E$85,4,0),"0")</f>
        <v>0</v>
      </c>
      <c r="L286" s="6" t="str">
        <f>IFERROR(VLOOKUP(J286,'Inadimplencia - Out 2025'!$A$5:$E$85,4,0),"0")</f>
        <v>0</v>
      </c>
      <c r="M286" s="31">
        <f t="shared" si="11"/>
        <v>0</v>
      </c>
      <c r="N286" s="5"/>
    </row>
    <row r="287" spans="1:14" x14ac:dyDescent="0.25">
      <c r="A287" s="38"/>
      <c r="B287" s="16" t="s">
        <v>626</v>
      </c>
      <c r="C287" s="17" t="s">
        <v>525</v>
      </c>
      <c r="D287" s="17" t="s">
        <v>513</v>
      </c>
      <c r="E287" s="18">
        <v>7</v>
      </c>
      <c r="F287" s="18">
        <v>2</v>
      </c>
      <c r="G287" s="17" t="s">
        <v>118</v>
      </c>
      <c r="H287" s="18">
        <v>8</v>
      </c>
      <c r="I287" s="19"/>
      <c r="J287" s="4" t="str">
        <f t="shared" si="12"/>
        <v>GA007</v>
      </c>
      <c r="K287" s="6" t="str">
        <f>IFERROR(VLOOKUP(J287,'Inadimplencia - FEV 2025'!$A$5:$E$85,4,0),"0")</f>
        <v>0</v>
      </c>
      <c r="L287" s="6" t="str">
        <f>IFERROR(VLOOKUP(J287,'Inadimplencia - Out 2025'!$A$5:$E$85,4,0),"0")</f>
        <v>0</v>
      </c>
      <c r="M287" s="31">
        <f t="shared" si="11"/>
        <v>0</v>
      </c>
      <c r="N287" s="5"/>
    </row>
    <row r="288" spans="1:14" x14ac:dyDescent="0.25">
      <c r="A288" s="38"/>
      <c r="B288" s="16" t="s">
        <v>628</v>
      </c>
      <c r="C288" s="17" t="s">
        <v>527</v>
      </c>
      <c r="D288" s="17" t="s">
        <v>513</v>
      </c>
      <c r="E288" s="18">
        <v>8</v>
      </c>
      <c r="F288" s="18">
        <v>2</v>
      </c>
      <c r="G288" s="17" t="s">
        <v>118</v>
      </c>
      <c r="H288" s="18">
        <v>8</v>
      </c>
      <c r="I288" s="19"/>
      <c r="J288" s="4" t="str">
        <f t="shared" si="12"/>
        <v>GA008</v>
      </c>
      <c r="K288" s="6" t="str">
        <f>IFERROR(VLOOKUP(J288,'Inadimplencia - FEV 2025'!$A$5:$E$85,4,0),"0")</f>
        <v>0</v>
      </c>
      <c r="L288" s="6" t="str">
        <f>IFERROR(VLOOKUP(J288,'Inadimplencia - Out 2025'!$A$5:$E$85,4,0),"0")</f>
        <v>0</v>
      </c>
      <c r="M288" s="31">
        <f t="shared" si="11"/>
        <v>0</v>
      </c>
      <c r="N288" s="5"/>
    </row>
    <row r="289" spans="1:14" x14ac:dyDescent="0.25">
      <c r="A289" s="38"/>
      <c r="B289" s="20" t="s">
        <v>630</v>
      </c>
      <c r="C289" s="21" t="s">
        <v>529</v>
      </c>
      <c r="D289" s="21" t="s">
        <v>513</v>
      </c>
      <c r="E289" s="22">
        <v>9</v>
      </c>
      <c r="F289" s="22">
        <v>2</v>
      </c>
      <c r="G289" s="21" t="s">
        <v>118</v>
      </c>
      <c r="H289" s="22">
        <v>8</v>
      </c>
      <c r="I289" s="19"/>
      <c r="J289" s="4" t="str">
        <f t="shared" si="12"/>
        <v>GA009</v>
      </c>
      <c r="K289" s="6" t="str">
        <f>IFERROR(VLOOKUP(J289,'Inadimplencia - FEV 2025'!$A$5:$E$85,4,0),"0")</f>
        <v>0</v>
      </c>
      <c r="L289" s="6" t="str">
        <f>IFERROR(VLOOKUP(J289,'Inadimplencia - Out 2025'!$A$5:$E$85,4,0),"0")</f>
        <v>0</v>
      </c>
      <c r="M289" s="31">
        <f t="shared" si="11"/>
        <v>0</v>
      </c>
      <c r="N289" s="5"/>
    </row>
    <row r="290" spans="1:14" x14ac:dyDescent="0.25">
      <c r="A290" s="38"/>
      <c r="B290" s="20" t="s">
        <v>632</v>
      </c>
      <c r="C290" s="21" t="s">
        <v>531</v>
      </c>
      <c r="D290" s="21" t="s">
        <v>513</v>
      </c>
      <c r="E290" s="22">
        <v>10</v>
      </c>
      <c r="F290" s="22">
        <v>2</v>
      </c>
      <c r="G290" s="21" t="s">
        <v>118</v>
      </c>
      <c r="H290" s="22">
        <v>8</v>
      </c>
      <c r="I290" s="19"/>
      <c r="J290" s="4" t="str">
        <f t="shared" si="12"/>
        <v>GA010</v>
      </c>
      <c r="K290" s="6" t="str">
        <f>IFERROR(VLOOKUP(J290,'Inadimplencia - FEV 2025'!$A$5:$E$85,4,0),"0")</f>
        <v>0</v>
      </c>
      <c r="L290" s="6" t="str">
        <f>IFERROR(VLOOKUP(J290,'Inadimplencia - Out 2025'!$A$5:$E$85,4,0),"0")</f>
        <v>0</v>
      </c>
      <c r="M290" s="31">
        <f t="shared" si="11"/>
        <v>0</v>
      </c>
      <c r="N290" s="5"/>
    </row>
    <row r="291" spans="1:14" ht="25.5" x14ac:dyDescent="0.25">
      <c r="A291" s="38"/>
      <c r="B291" s="16" t="s">
        <v>634</v>
      </c>
      <c r="C291" s="17" t="s">
        <v>533</v>
      </c>
      <c r="D291" s="17" t="s">
        <v>513</v>
      </c>
      <c r="E291" s="18">
        <v>11</v>
      </c>
      <c r="F291" s="18">
        <v>2</v>
      </c>
      <c r="G291" s="17" t="s">
        <v>118</v>
      </c>
      <c r="H291" s="18">
        <v>8</v>
      </c>
      <c r="I291" s="19"/>
      <c r="J291" s="4" t="str">
        <f t="shared" si="12"/>
        <v>GA011</v>
      </c>
      <c r="K291" s="6" t="str">
        <f>IFERROR(VLOOKUP(J291,'Inadimplencia - FEV 2025'!$A$5:$E$85,4,0),"0")</f>
        <v>0</v>
      </c>
      <c r="L291" s="6" t="str">
        <f>IFERROR(VLOOKUP(J291,'Inadimplencia - Out 2025'!$A$5:$E$85,4,0),"0")</f>
        <v>0</v>
      </c>
      <c r="M291" s="31">
        <f t="shared" si="11"/>
        <v>0</v>
      </c>
      <c r="N291" s="5"/>
    </row>
    <row r="292" spans="1:14" x14ac:dyDescent="0.25">
      <c r="A292" s="38"/>
      <c r="B292" s="20" t="s">
        <v>636</v>
      </c>
      <c r="C292" s="21" t="s">
        <v>535</v>
      </c>
      <c r="D292" s="21" t="s">
        <v>513</v>
      </c>
      <c r="E292" s="22">
        <v>12</v>
      </c>
      <c r="F292" s="22">
        <v>2</v>
      </c>
      <c r="G292" s="21" t="s">
        <v>118</v>
      </c>
      <c r="H292" s="22">
        <v>8</v>
      </c>
      <c r="I292" s="19"/>
      <c r="J292" s="4" t="str">
        <f t="shared" si="12"/>
        <v>GA012</v>
      </c>
      <c r="K292" s="6" t="str">
        <f>IFERROR(VLOOKUP(J292,'Inadimplencia - FEV 2025'!$A$5:$E$85,4,0),"0")</f>
        <v>0</v>
      </c>
      <c r="L292" s="6" t="str">
        <f>IFERROR(VLOOKUP(J292,'Inadimplencia - Out 2025'!$A$5:$E$85,4,0),"0")</f>
        <v>0</v>
      </c>
      <c r="M292" s="31">
        <f t="shared" si="11"/>
        <v>0</v>
      </c>
      <c r="N292" s="5"/>
    </row>
    <row r="293" spans="1:14" ht="25.5" x14ac:dyDescent="0.25">
      <c r="A293" s="38"/>
      <c r="B293" s="20" t="s">
        <v>638</v>
      </c>
      <c r="C293" s="17" t="s">
        <v>537</v>
      </c>
      <c r="D293" s="17" t="s">
        <v>513</v>
      </c>
      <c r="E293" s="18">
        <v>13</v>
      </c>
      <c r="F293" s="18">
        <v>2</v>
      </c>
      <c r="G293" s="17" t="s">
        <v>118</v>
      </c>
      <c r="H293" s="18">
        <v>8</v>
      </c>
      <c r="I293" s="19"/>
      <c r="J293" s="4" t="str">
        <f t="shared" si="12"/>
        <v>GA013</v>
      </c>
      <c r="K293" s="6" t="str">
        <f>IFERROR(VLOOKUP(J293,'Inadimplencia - FEV 2025'!$A$5:$E$85,4,0),"0")</f>
        <v>0</v>
      </c>
      <c r="L293" s="6" t="str">
        <f>IFERROR(VLOOKUP(J293,'Inadimplencia - Out 2025'!$A$5:$E$85,4,0),"0")</f>
        <v>0</v>
      </c>
      <c r="M293" s="31">
        <f t="shared" si="11"/>
        <v>0</v>
      </c>
      <c r="N293" s="5"/>
    </row>
    <row r="294" spans="1:14" x14ac:dyDescent="0.25">
      <c r="A294" s="38"/>
      <c r="B294" s="16" t="s">
        <v>640</v>
      </c>
      <c r="C294" s="21" t="s">
        <v>539</v>
      </c>
      <c r="D294" s="21" t="s">
        <v>513</v>
      </c>
      <c r="E294" s="22">
        <v>14</v>
      </c>
      <c r="F294" s="22">
        <v>2</v>
      </c>
      <c r="G294" s="21" t="s">
        <v>118</v>
      </c>
      <c r="H294" s="22">
        <v>8</v>
      </c>
      <c r="I294" s="19"/>
      <c r="J294" s="4" t="str">
        <f t="shared" si="12"/>
        <v>GA014</v>
      </c>
      <c r="K294" s="6" t="str">
        <f>IFERROR(VLOOKUP(J294,'Inadimplencia - FEV 2025'!$A$5:$E$85,4,0),"0")</f>
        <v>0</v>
      </c>
      <c r="L294" s="6" t="str">
        <f>IFERROR(VLOOKUP(J294,'Inadimplencia - Out 2025'!$A$5:$E$85,4,0),"0")</f>
        <v>0</v>
      </c>
      <c r="M294" s="31">
        <f t="shared" si="11"/>
        <v>0</v>
      </c>
      <c r="N294" s="5"/>
    </row>
    <row r="295" spans="1:14" x14ac:dyDescent="0.25">
      <c r="A295" s="38"/>
      <c r="B295" s="20" t="s">
        <v>642</v>
      </c>
      <c r="C295" s="17" t="s">
        <v>541</v>
      </c>
      <c r="D295" s="17" t="s">
        <v>513</v>
      </c>
      <c r="E295" s="18">
        <v>16</v>
      </c>
      <c r="F295" s="18">
        <v>2</v>
      </c>
      <c r="G295" s="17" t="s">
        <v>118</v>
      </c>
      <c r="H295" s="18">
        <v>8</v>
      </c>
      <c r="I295" s="19"/>
      <c r="J295" s="4" t="str">
        <f t="shared" si="12"/>
        <v>GA016</v>
      </c>
      <c r="K295" s="6" t="str">
        <f>IFERROR(VLOOKUP(J295,'Inadimplencia - FEV 2025'!$A$5:$E$85,4,0),"0")</f>
        <v>0</v>
      </c>
      <c r="L295" s="6" t="str">
        <f>IFERROR(VLOOKUP(J295,'Inadimplencia - Out 2025'!$A$5:$E$85,4,0),"0")</f>
        <v>0</v>
      </c>
      <c r="M295" s="31">
        <f t="shared" si="11"/>
        <v>0</v>
      </c>
      <c r="N295" s="5"/>
    </row>
    <row r="296" spans="1:14" x14ac:dyDescent="0.25">
      <c r="A296" s="38"/>
      <c r="B296" s="16" t="s">
        <v>644</v>
      </c>
      <c r="C296" s="21" t="s">
        <v>543</v>
      </c>
      <c r="D296" s="21" t="s">
        <v>513</v>
      </c>
      <c r="E296" s="22">
        <v>17</v>
      </c>
      <c r="F296" s="22">
        <v>2</v>
      </c>
      <c r="G296" s="21" t="s">
        <v>118</v>
      </c>
      <c r="H296" s="22">
        <v>8</v>
      </c>
      <c r="I296" s="19"/>
      <c r="J296" s="4" t="str">
        <f t="shared" si="12"/>
        <v>GA017</v>
      </c>
      <c r="K296" s="6" t="str">
        <f>IFERROR(VLOOKUP(J296,'Inadimplencia - FEV 2025'!$A$5:$E$85,4,0),"0")</f>
        <v>0</v>
      </c>
      <c r="L296" s="6" t="str">
        <f>IFERROR(VLOOKUP(J296,'Inadimplencia - Out 2025'!$A$5:$E$85,4,0),"0")</f>
        <v>0</v>
      </c>
      <c r="M296" s="31">
        <f t="shared" si="11"/>
        <v>0</v>
      </c>
      <c r="N296" s="5"/>
    </row>
    <row r="297" spans="1:14" ht="25.5" x14ac:dyDescent="0.25">
      <c r="A297" s="38"/>
      <c r="B297" s="16" t="s">
        <v>646</v>
      </c>
      <c r="C297" s="21" t="s">
        <v>537</v>
      </c>
      <c r="D297" s="21" t="s">
        <v>513</v>
      </c>
      <c r="E297" s="22">
        <v>18</v>
      </c>
      <c r="F297" s="22">
        <v>2</v>
      </c>
      <c r="G297" s="21" t="s">
        <v>133</v>
      </c>
      <c r="H297" s="22">
        <v>8</v>
      </c>
      <c r="I297" s="19"/>
      <c r="J297" s="4" t="str">
        <f t="shared" si="12"/>
        <v>GA018</v>
      </c>
      <c r="K297" s="6" t="str">
        <f>IFERROR(VLOOKUP(J297,'Inadimplencia - FEV 2025'!$A$5:$E$85,4,0),"0")</f>
        <v>0</v>
      </c>
      <c r="L297" s="6" t="str">
        <f>IFERROR(VLOOKUP(J297,'Inadimplencia - Out 2025'!$A$5:$E$85,4,0),"0")</f>
        <v>0</v>
      </c>
      <c r="M297" s="31">
        <f t="shared" si="11"/>
        <v>0</v>
      </c>
      <c r="N297" s="5"/>
    </row>
    <row r="298" spans="1:14" ht="25.5" x14ac:dyDescent="0.25">
      <c r="A298" s="38"/>
      <c r="B298" s="20" t="s">
        <v>648</v>
      </c>
      <c r="C298" s="21" t="s">
        <v>545</v>
      </c>
      <c r="D298" s="21" t="s">
        <v>513</v>
      </c>
      <c r="E298" s="22">
        <v>19</v>
      </c>
      <c r="F298" s="22">
        <v>2</v>
      </c>
      <c r="G298" s="21" t="s">
        <v>118</v>
      </c>
      <c r="H298" s="22">
        <v>8</v>
      </c>
      <c r="I298" s="19"/>
      <c r="J298" s="4" t="str">
        <f t="shared" si="12"/>
        <v>GA019</v>
      </c>
      <c r="K298" s="6" t="str">
        <f>IFERROR(VLOOKUP(J298,'Inadimplencia - FEV 2025'!$A$5:$E$85,4,0),"0")</f>
        <v>0</v>
      </c>
      <c r="L298" s="6" t="str">
        <f>IFERROR(VLOOKUP(J298,'Inadimplencia - Out 2025'!$A$5:$E$85,4,0),"0")</f>
        <v>0</v>
      </c>
      <c r="M298" s="31">
        <f t="shared" si="11"/>
        <v>0</v>
      </c>
      <c r="N298" s="5"/>
    </row>
    <row r="299" spans="1:14" x14ac:dyDescent="0.25">
      <c r="A299" s="38"/>
      <c r="B299" s="20" t="s">
        <v>650</v>
      </c>
      <c r="C299" s="21" t="s">
        <v>547</v>
      </c>
      <c r="D299" s="21" t="s">
        <v>513</v>
      </c>
      <c r="E299" s="22">
        <v>20</v>
      </c>
      <c r="F299" s="22">
        <v>2</v>
      </c>
      <c r="G299" s="21" t="s">
        <v>118</v>
      </c>
      <c r="H299" s="22">
        <v>8</v>
      </c>
      <c r="I299" s="19"/>
      <c r="J299" s="4" t="str">
        <f t="shared" si="12"/>
        <v>GA020</v>
      </c>
      <c r="K299" s="6" t="str">
        <f>IFERROR(VLOOKUP(J299,'Inadimplencia - FEV 2025'!$A$5:$E$85,4,0),"0")</f>
        <v>0</v>
      </c>
      <c r="L299" s="6" t="str">
        <f>IFERROR(VLOOKUP(J299,'Inadimplencia - Out 2025'!$A$5:$E$85,4,0),"0")</f>
        <v>0</v>
      </c>
      <c r="M299" s="31">
        <f t="shared" si="11"/>
        <v>0</v>
      </c>
      <c r="N299" s="5"/>
    </row>
    <row r="300" spans="1:14" x14ac:dyDescent="0.25">
      <c r="A300" s="38"/>
      <c r="B300" s="16" t="s">
        <v>652</v>
      </c>
      <c r="C300" s="21" t="s">
        <v>549</v>
      </c>
      <c r="D300" s="21" t="s">
        <v>513</v>
      </c>
      <c r="E300" s="22">
        <v>21</v>
      </c>
      <c r="F300" s="22">
        <v>2</v>
      </c>
      <c r="G300" s="21" t="s">
        <v>118</v>
      </c>
      <c r="H300" s="22">
        <v>8</v>
      </c>
      <c r="I300" s="19"/>
      <c r="J300" s="4" t="str">
        <f t="shared" si="12"/>
        <v>GA021</v>
      </c>
      <c r="K300" s="6" t="str">
        <f>IFERROR(VLOOKUP(J300,'Inadimplencia - FEV 2025'!$A$5:$E$85,4,0),"0")</f>
        <v>0</v>
      </c>
      <c r="L300" s="6" t="str">
        <f>IFERROR(VLOOKUP(J300,'Inadimplencia - Out 2025'!$A$5:$E$85,4,0),"0")</f>
        <v>0</v>
      </c>
      <c r="M300" s="31">
        <f t="shared" si="11"/>
        <v>0</v>
      </c>
      <c r="N300" s="5"/>
    </row>
    <row r="301" spans="1:14" x14ac:dyDescent="0.25">
      <c r="A301" s="38"/>
      <c r="B301" s="16" t="s">
        <v>655</v>
      </c>
      <c r="C301" s="17" t="s">
        <v>553</v>
      </c>
      <c r="D301" s="17" t="s">
        <v>513</v>
      </c>
      <c r="E301" s="18">
        <v>23</v>
      </c>
      <c r="F301" s="18">
        <v>2</v>
      </c>
      <c r="G301" s="17" t="s">
        <v>118</v>
      </c>
      <c r="H301" s="18">
        <v>8</v>
      </c>
      <c r="I301" s="19"/>
      <c r="J301" s="4" t="str">
        <f t="shared" si="12"/>
        <v>GA023</v>
      </c>
      <c r="K301" s="6" t="str">
        <f>IFERROR(VLOOKUP(J301,'Inadimplencia - FEV 2025'!$A$5:$E$85,4,0),"0")</f>
        <v>0</v>
      </c>
      <c r="L301" s="6" t="str">
        <f>IFERROR(VLOOKUP(J301,'Inadimplencia - Out 2025'!$A$5:$E$85,4,0),"0")</f>
        <v>0</v>
      </c>
      <c r="M301" s="31">
        <f t="shared" si="11"/>
        <v>0</v>
      </c>
      <c r="N301" s="5"/>
    </row>
    <row r="302" spans="1:14" x14ac:dyDescent="0.25">
      <c r="A302" s="38"/>
      <c r="B302" s="20" t="s">
        <v>657</v>
      </c>
      <c r="C302" s="17" t="s">
        <v>555</v>
      </c>
      <c r="D302" s="17" t="s">
        <v>513</v>
      </c>
      <c r="E302" s="18">
        <v>24</v>
      </c>
      <c r="F302" s="18">
        <v>2</v>
      </c>
      <c r="G302" s="17" t="s">
        <v>118</v>
      </c>
      <c r="H302" s="18">
        <v>8</v>
      </c>
      <c r="I302" s="19"/>
      <c r="J302" s="4" t="str">
        <f t="shared" si="12"/>
        <v>GA024</v>
      </c>
      <c r="K302" s="6" t="str">
        <f>IFERROR(VLOOKUP(J302,'Inadimplencia - FEV 2025'!$A$5:$E$85,4,0),"0")</f>
        <v>0</v>
      </c>
      <c r="L302" s="6" t="str">
        <f>IFERROR(VLOOKUP(J302,'Inadimplencia - Out 2025'!$A$5:$E$85,4,0),"0")</f>
        <v>0</v>
      </c>
      <c r="M302" s="31">
        <f t="shared" si="11"/>
        <v>0</v>
      </c>
      <c r="N302" s="5"/>
    </row>
    <row r="303" spans="1:14" x14ac:dyDescent="0.25">
      <c r="A303" s="38"/>
      <c r="B303" s="16" t="s">
        <v>659</v>
      </c>
      <c r="C303" s="17" t="s">
        <v>557</v>
      </c>
      <c r="D303" s="17" t="s">
        <v>513</v>
      </c>
      <c r="E303" s="18">
        <v>25</v>
      </c>
      <c r="F303" s="18">
        <v>2</v>
      </c>
      <c r="G303" s="17" t="s">
        <v>118</v>
      </c>
      <c r="H303" s="18">
        <v>8</v>
      </c>
      <c r="I303" s="19"/>
      <c r="J303" s="4" t="str">
        <f t="shared" si="12"/>
        <v>GA025</v>
      </c>
      <c r="K303" s="6" t="str">
        <f>IFERROR(VLOOKUP(J303,'Inadimplencia - FEV 2025'!$A$5:$E$85,4,0),"0")</f>
        <v>0</v>
      </c>
      <c r="L303" s="6" t="str">
        <f>IFERROR(VLOOKUP(J303,'Inadimplencia - Out 2025'!$A$5:$E$85,4,0),"0")</f>
        <v>0</v>
      </c>
      <c r="M303" s="31">
        <f t="shared" si="11"/>
        <v>0</v>
      </c>
      <c r="N303" s="5"/>
    </row>
    <row r="304" spans="1:14" x14ac:dyDescent="0.25">
      <c r="A304" s="38"/>
      <c r="B304" s="16" t="s">
        <v>661</v>
      </c>
      <c r="C304" s="17" t="s">
        <v>559</v>
      </c>
      <c r="D304" s="17" t="s">
        <v>513</v>
      </c>
      <c r="E304" s="18">
        <v>27</v>
      </c>
      <c r="F304" s="18">
        <v>2</v>
      </c>
      <c r="G304" s="17" t="s">
        <v>118</v>
      </c>
      <c r="H304" s="18">
        <v>8</v>
      </c>
      <c r="I304" s="19"/>
      <c r="J304" s="4" t="str">
        <f t="shared" si="12"/>
        <v>GA027</v>
      </c>
      <c r="K304" s="6" t="str">
        <f>IFERROR(VLOOKUP(J304,'Inadimplencia - FEV 2025'!$A$5:$E$85,4,0),"0")</f>
        <v>0</v>
      </c>
      <c r="L304" s="6" t="str">
        <f>IFERROR(VLOOKUP(J304,'Inadimplencia - Out 2025'!$A$5:$E$85,4,0),"0")</f>
        <v>0</v>
      </c>
      <c r="M304" s="31">
        <f t="shared" si="11"/>
        <v>0</v>
      </c>
      <c r="N304" s="5"/>
    </row>
    <row r="305" spans="1:14" x14ac:dyDescent="0.25">
      <c r="A305" s="38"/>
      <c r="B305" s="20" t="s">
        <v>663</v>
      </c>
      <c r="C305" s="21" t="s">
        <v>561</v>
      </c>
      <c r="D305" s="21" t="s">
        <v>513</v>
      </c>
      <c r="E305" s="22">
        <v>28</v>
      </c>
      <c r="F305" s="22">
        <v>2</v>
      </c>
      <c r="G305" s="21" t="s">
        <v>118</v>
      </c>
      <c r="H305" s="22">
        <v>8</v>
      </c>
      <c r="I305" s="19"/>
      <c r="J305" s="4" t="str">
        <f t="shared" si="12"/>
        <v>GA028</v>
      </c>
      <c r="K305" s="6" t="str">
        <f>IFERROR(VLOOKUP(J305,'Inadimplencia - FEV 2025'!$A$5:$E$85,4,0),"0")</f>
        <v>0</v>
      </c>
      <c r="L305" s="6" t="str">
        <f>IFERROR(VLOOKUP(J305,'Inadimplencia - Out 2025'!$A$5:$E$85,4,0),"0")</f>
        <v>0</v>
      </c>
      <c r="M305" s="31">
        <f t="shared" si="11"/>
        <v>0</v>
      </c>
      <c r="N305" s="5"/>
    </row>
    <row r="306" spans="1:14" ht="25.5" x14ac:dyDescent="0.25">
      <c r="A306" s="38"/>
      <c r="B306" s="20" t="s">
        <v>665</v>
      </c>
      <c r="C306" s="21" t="s">
        <v>533</v>
      </c>
      <c r="D306" s="21" t="s">
        <v>513</v>
      </c>
      <c r="E306" s="22">
        <v>29</v>
      </c>
      <c r="F306" s="22">
        <v>2</v>
      </c>
      <c r="G306" s="21" t="s">
        <v>133</v>
      </c>
      <c r="H306" s="22">
        <v>8</v>
      </c>
      <c r="I306" s="19"/>
      <c r="J306" s="4" t="str">
        <f t="shared" si="12"/>
        <v>GA029</v>
      </c>
      <c r="K306" s="6" t="str">
        <f>IFERROR(VLOOKUP(J306,'Inadimplencia - FEV 2025'!$A$5:$E$85,4,0),"0")</f>
        <v>0</v>
      </c>
      <c r="L306" s="6" t="str">
        <f>IFERROR(VLOOKUP(J306,'Inadimplencia - Out 2025'!$A$5:$E$85,4,0),"0")</f>
        <v>0</v>
      </c>
      <c r="M306" s="31">
        <f t="shared" si="11"/>
        <v>0</v>
      </c>
      <c r="N306" s="5"/>
    </row>
    <row r="307" spans="1:14" x14ac:dyDescent="0.25">
      <c r="A307" s="38"/>
      <c r="B307" s="20" t="s">
        <v>667</v>
      </c>
      <c r="C307" s="17" t="s">
        <v>565</v>
      </c>
      <c r="D307" s="17" t="s">
        <v>513</v>
      </c>
      <c r="E307" s="18">
        <v>31</v>
      </c>
      <c r="F307" s="18">
        <v>2</v>
      </c>
      <c r="G307" s="17" t="s">
        <v>118</v>
      </c>
      <c r="H307" s="18">
        <v>8</v>
      </c>
      <c r="I307" s="19"/>
      <c r="J307" s="4" t="str">
        <f t="shared" si="12"/>
        <v>GA031</v>
      </c>
      <c r="K307" s="6" t="str">
        <f>IFERROR(VLOOKUP(J307,'Inadimplencia - FEV 2025'!$A$5:$E$85,4,0),"0")</f>
        <v>0</v>
      </c>
      <c r="L307" s="6" t="str">
        <f>IFERROR(VLOOKUP(J307,'Inadimplencia - Out 2025'!$A$5:$E$85,4,0),"0")</f>
        <v>0</v>
      </c>
      <c r="M307" s="31">
        <f t="shared" si="11"/>
        <v>0</v>
      </c>
      <c r="N307" s="5"/>
    </row>
    <row r="308" spans="1:14" ht="25.5" x14ac:dyDescent="0.25">
      <c r="A308" s="38"/>
      <c r="B308" s="16" t="s">
        <v>669</v>
      </c>
      <c r="C308" s="21" t="s">
        <v>567</v>
      </c>
      <c r="D308" s="21" t="s">
        <v>513</v>
      </c>
      <c r="E308" s="22">
        <v>32</v>
      </c>
      <c r="F308" s="22">
        <v>2</v>
      </c>
      <c r="G308" s="21" t="s">
        <v>118</v>
      </c>
      <c r="H308" s="22">
        <v>8</v>
      </c>
      <c r="I308" s="19"/>
      <c r="J308" s="4" t="str">
        <f t="shared" si="12"/>
        <v>GA032</v>
      </c>
      <c r="K308" s="6" t="str">
        <f>IFERROR(VLOOKUP(J308,'Inadimplencia - FEV 2025'!$A$5:$E$85,4,0),"0")</f>
        <v>0</v>
      </c>
      <c r="L308" s="6" t="str">
        <f>IFERROR(VLOOKUP(J308,'Inadimplencia - Out 2025'!$A$5:$E$85,4,0),"0")</f>
        <v>0</v>
      </c>
      <c r="M308" s="31">
        <f t="shared" si="11"/>
        <v>0</v>
      </c>
      <c r="N308" s="5"/>
    </row>
    <row r="309" spans="1:14" x14ac:dyDescent="0.25">
      <c r="A309" s="38"/>
      <c r="B309" s="16" t="s">
        <v>671</v>
      </c>
      <c r="C309" s="17" t="s">
        <v>569</v>
      </c>
      <c r="D309" s="17" t="s">
        <v>513</v>
      </c>
      <c r="E309" s="18">
        <v>33</v>
      </c>
      <c r="F309" s="18">
        <v>2</v>
      </c>
      <c r="G309" s="17" t="s">
        <v>118</v>
      </c>
      <c r="H309" s="18">
        <v>8</v>
      </c>
      <c r="I309" s="19"/>
      <c r="J309" s="4" t="str">
        <f t="shared" si="12"/>
        <v>GA033</v>
      </c>
      <c r="K309" s="6" t="str">
        <f>IFERROR(VLOOKUP(J309,'Inadimplencia - FEV 2025'!$A$5:$E$85,4,0),"0")</f>
        <v>0</v>
      </c>
      <c r="L309" s="6" t="str">
        <f>IFERROR(VLOOKUP(J309,'Inadimplencia - Out 2025'!$A$5:$E$85,4,0),"0")</f>
        <v>0</v>
      </c>
      <c r="M309" s="31">
        <f t="shared" si="11"/>
        <v>0</v>
      </c>
      <c r="N309" s="5"/>
    </row>
    <row r="310" spans="1:14" x14ac:dyDescent="0.25">
      <c r="A310" s="38"/>
      <c r="B310" s="16" t="s">
        <v>673</v>
      </c>
      <c r="C310" s="17" t="s">
        <v>336</v>
      </c>
      <c r="D310" s="17" t="s">
        <v>513</v>
      </c>
      <c r="E310" s="18">
        <v>34</v>
      </c>
      <c r="F310" s="18">
        <v>2</v>
      </c>
      <c r="G310" s="17" t="s">
        <v>133</v>
      </c>
      <c r="H310" s="18">
        <v>4</v>
      </c>
      <c r="I310" s="19"/>
      <c r="J310" s="4" t="str">
        <f t="shared" si="12"/>
        <v>GA034</v>
      </c>
      <c r="K310" s="6" t="str">
        <f>IFERROR(VLOOKUP(J310,'Inadimplencia - FEV 2025'!$A$5:$E$85,4,0),"0")</f>
        <v>0</v>
      </c>
      <c r="L310" s="6" t="str">
        <f>IFERROR(VLOOKUP(J310,'Inadimplencia - Out 2025'!$A$5:$E$85,4,0),"0")</f>
        <v>0</v>
      </c>
      <c r="M310" s="31">
        <f t="shared" si="11"/>
        <v>0</v>
      </c>
      <c r="N310" s="5"/>
    </row>
    <row r="311" spans="1:14" x14ac:dyDescent="0.25">
      <c r="A311" s="38"/>
      <c r="B311" s="20" t="s">
        <v>675</v>
      </c>
      <c r="C311" s="17" t="s">
        <v>571</v>
      </c>
      <c r="D311" s="17" t="s">
        <v>513</v>
      </c>
      <c r="E311" s="18">
        <v>35</v>
      </c>
      <c r="F311" s="18">
        <v>2</v>
      </c>
      <c r="G311" s="17" t="s">
        <v>118</v>
      </c>
      <c r="H311" s="18">
        <v>8</v>
      </c>
      <c r="I311" s="19"/>
      <c r="J311" s="4" t="str">
        <f t="shared" si="12"/>
        <v>GA035</v>
      </c>
      <c r="K311" s="6" t="str">
        <f>IFERROR(VLOOKUP(J311,'Inadimplencia - FEV 2025'!$A$5:$E$85,4,0),"0")</f>
        <v>0</v>
      </c>
      <c r="L311" s="6" t="str">
        <f>IFERROR(VLOOKUP(J311,'Inadimplencia - Out 2025'!$A$5:$E$85,4,0),"0")</f>
        <v>0</v>
      </c>
      <c r="M311" s="31">
        <f t="shared" si="11"/>
        <v>0</v>
      </c>
      <c r="N311" s="5"/>
    </row>
    <row r="312" spans="1:14" ht="25.5" x14ac:dyDescent="0.25">
      <c r="A312" s="38"/>
      <c r="B312" s="20" t="s">
        <v>677</v>
      </c>
      <c r="C312" s="17" t="s">
        <v>573</v>
      </c>
      <c r="D312" s="17" t="s">
        <v>513</v>
      </c>
      <c r="E312" s="18">
        <v>36</v>
      </c>
      <c r="F312" s="18">
        <v>2</v>
      </c>
      <c r="G312" s="17" t="s">
        <v>118</v>
      </c>
      <c r="H312" s="18">
        <v>8</v>
      </c>
      <c r="I312" s="19"/>
      <c r="J312" s="4" t="str">
        <f t="shared" si="12"/>
        <v>GA036</v>
      </c>
      <c r="K312" s="6" t="str">
        <f>IFERROR(VLOOKUP(J312,'Inadimplencia - FEV 2025'!$A$5:$E$85,4,0),"0")</f>
        <v>0</v>
      </c>
      <c r="L312" s="6" t="str">
        <f>IFERROR(VLOOKUP(J312,'Inadimplencia - Out 2025'!$A$5:$E$85,4,0),"0")</f>
        <v>0</v>
      </c>
      <c r="M312" s="31">
        <f t="shared" si="11"/>
        <v>0</v>
      </c>
      <c r="N312" s="5"/>
    </row>
    <row r="313" spans="1:14" x14ac:dyDescent="0.25">
      <c r="A313" s="38"/>
      <c r="B313" s="20" t="s">
        <v>679</v>
      </c>
      <c r="C313" s="17" t="s">
        <v>575</v>
      </c>
      <c r="D313" s="17" t="s">
        <v>513</v>
      </c>
      <c r="E313" s="18">
        <v>37</v>
      </c>
      <c r="F313" s="18">
        <v>2</v>
      </c>
      <c r="G313" s="17" t="s">
        <v>118</v>
      </c>
      <c r="H313" s="18">
        <v>8</v>
      </c>
      <c r="I313" s="19"/>
      <c r="J313" s="4" t="str">
        <f t="shared" si="12"/>
        <v>GA037</v>
      </c>
      <c r="K313" s="6" t="str">
        <f>IFERROR(VLOOKUP(J313,'Inadimplencia - FEV 2025'!$A$5:$E$85,4,0),"0")</f>
        <v>0</v>
      </c>
      <c r="L313" s="6" t="str">
        <f>IFERROR(VLOOKUP(J313,'Inadimplencia - Out 2025'!$A$5:$E$85,4,0),"0")</f>
        <v>0</v>
      </c>
      <c r="M313" s="31">
        <f t="shared" si="11"/>
        <v>0</v>
      </c>
      <c r="N313" s="5"/>
    </row>
    <row r="314" spans="1:14" x14ac:dyDescent="0.25">
      <c r="A314" s="38"/>
      <c r="B314" s="16" t="s">
        <v>681</v>
      </c>
      <c r="C314" s="17" t="s">
        <v>579</v>
      </c>
      <c r="D314" s="17" t="s">
        <v>513</v>
      </c>
      <c r="E314" s="18">
        <v>39</v>
      </c>
      <c r="F314" s="18">
        <v>2</v>
      </c>
      <c r="G314" s="17" t="s">
        <v>118</v>
      </c>
      <c r="H314" s="18">
        <v>8</v>
      </c>
      <c r="I314" s="19"/>
      <c r="J314" s="4" t="str">
        <f t="shared" si="12"/>
        <v>GA039</v>
      </c>
      <c r="K314" s="6" t="str">
        <f>IFERROR(VLOOKUP(J314,'Inadimplencia - FEV 2025'!$A$5:$E$85,4,0),"0")</f>
        <v>0</v>
      </c>
      <c r="L314" s="6" t="str">
        <f>IFERROR(VLOOKUP(J314,'Inadimplencia - Out 2025'!$A$5:$E$85,4,0),"0")</f>
        <v>0</v>
      </c>
      <c r="M314" s="31">
        <f t="shared" si="11"/>
        <v>0</v>
      </c>
      <c r="N314" s="5"/>
    </row>
    <row r="315" spans="1:14" x14ac:dyDescent="0.25">
      <c r="A315" s="38"/>
      <c r="B315" s="20" t="s">
        <v>683</v>
      </c>
      <c r="C315" s="17" t="s">
        <v>583</v>
      </c>
      <c r="D315" s="17" t="s">
        <v>513</v>
      </c>
      <c r="E315" s="18">
        <v>41</v>
      </c>
      <c r="F315" s="18">
        <v>2</v>
      </c>
      <c r="G315" s="17" t="s">
        <v>118</v>
      </c>
      <c r="H315" s="18">
        <v>8</v>
      </c>
      <c r="I315" s="19"/>
      <c r="J315" s="4" t="str">
        <f t="shared" si="12"/>
        <v>GA041</v>
      </c>
      <c r="K315" s="6" t="str">
        <f>IFERROR(VLOOKUP(J315,'Inadimplencia - FEV 2025'!$A$5:$E$85,4,0),"0")</f>
        <v>0</v>
      </c>
      <c r="L315" s="6" t="str">
        <f>IFERROR(VLOOKUP(J315,'Inadimplencia - Out 2025'!$A$5:$E$85,4,0),"0")</f>
        <v>0</v>
      </c>
      <c r="M315" s="31">
        <f t="shared" si="11"/>
        <v>0</v>
      </c>
      <c r="N315" s="5"/>
    </row>
    <row r="316" spans="1:14" x14ac:dyDescent="0.25">
      <c r="A316" s="38"/>
      <c r="B316" s="20" t="s">
        <v>685</v>
      </c>
      <c r="C316" s="21" t="s">
        <v>585</v>
      </c>
      <c r="D316" s="21" t="s">
        <v>513</v>
      </c>
      <c r="E316" s="22">
        <v>42</v>
      </c>
      <c r="F316" s="22">
        <v>2</v>
      </c>
      <c r="G316" s="21" t="s">
        <v>118</v>
      </c>
      <c r="H316" s="22">
        <v>8</v>
      </c>
      <c r="I316" s="19"/>
      <c r="J316" s="4" t="str">
        <f t="shared" ref="J316:J346" si="13">"GA" &amp; TEXT(E316, "000")</f>
        <v>GA042</v>
      </c>
      <c r="K316" s="6" t="str">
        <f>IFERROR(VLOOKUP(J316,'Inadimplencia - FEV 2025'!$A$5:$E$85,4,0),"0")</f>
        <v>0</v>
      </c>
      <c r="L316" s="6" t="str">
        <f>IFERROR(VLOOKUP(J316,'Inadimplencia - Out 2025'!$A$5:$E$85,4,0),"0")</f>
        <v>0</v>
      </c>
      <c r="M316" s="31">
        <f t="shared" si="11"/>
        <v>0</v>
      </c>
      <c r="N316" s="5"/>
    </row>
    <row r="317" spans="1:14" x14ac:dyDescent="0.25">
      <c r="A317" s="38"/>
      <c r="B317" s="20" t="s">
        <v>687</v>
      </c>
      <c r="C317" s="17" t="s">
        <v>587</v>
      </c>
      <c r="D317" s="17" t="s">
        <v>513</v>
      </c>
      <c r="E317" s="18">
        <v>43</v>
      </c>
      <c r="F317" s="18">
        <v>2</v>
      </c>
      <c r="G317" s="17" t="s">
        <v>118</v>
      </c>
      <c r="H317" s="18">
        <v>8</v>
      </c>
      <c r="I317" s="19"/>
      <c r="J317" s="4" t="str">
        <f t="shared" si="13"/>
        <v>GA043</v>
      </c>
      <c r="K317" s="6" t="str">
        <f>IFERROR(VLOOKUP(J317,'Inadimplencia - FEV 2025'!$A$5:$E$85,4,0),"0")</f>
        <v>0</v>
      </c>
      <c r="L317" s="6" t="str">
        <f>IFERROR(VLOOKUP(J317,'Inadimplencia - Out 2025'!$A$5:$E$85,4,0),"0")</f>
        <v>0</v>
      </c>
      <c r="M317" s="31">
        <f t="shared" si="11"/>
        <v>0</v>
      </c>
      <c r="N317" s="5"/>
    </row>
    <row r="318" spans="1:14" x14ac:dyDescent="0.25">
      <c r="A318" s="38"/>
      <c r="B318" s="16" t="s">
        <v>689</v>
      </c>
      <c r="C318" s="21" t="s">
        <v>589</v>
      </c>
      <c r="D318" s="21" t="s">
        <v>513</v>
      </c>
      <c r="E318" s="22">
        <v>44</v>
      </c>
      <c r="F318" s="22">
        <v>2</v>
      </c>
      <c r="G318" s="21" t="s">
        <v>118</v>
      </c>
      <c r="H318" s="22">
        <v>8</v>
      </c>
      <c r="I318" s="19"/>
      <c r="J318" s="4" t="str">
        <f t="shared" si="13"/>
        <v>GA044</v>
      </c>
      <c r="K318" s="6" t="str">
        <f>IFERROR(VLOOKUP(J318,'Inadimplencia - FEV 2025'!$A$5:$E$85,4,0),"0")</f>
        <v>0</v>
      </c>
      <c r="L318" s="6" t="str">
        <f>IFERROR(VLOOKUP(J318,'Inadimplencia - Out 2025'!$A$5:$E$85,4,0),"0")</f>
        <v>0</v>
      </c>
      <c r="M318" s="31">
        <f t="shared" si="11"/>
        <v>0</v>
      </c>
      <c r="N318" s="5"/>
    </row>
    <row r="319" spans="1:14" x14ac:dyDescent="0.25">
      <c r="A319" s="38"/>
      <c r="B319" s="16" t="s">
        <v>691</v>
      </c>
      <c r="C319" s="21" t="s">
        <v>591</v>
      </c>
      <c r="D319" s="21" t="s">
        <v>513</v>
      </c>
      <c r="E319" s="22">
        <v>45</v>
      </c>
      <c r="F319" s="22">
        <v>2</v>
      </c>
      <c r="G319" s="21" t="s">
        <v>118</v>
      </c>
      <c r="H319" s="22">
        <v>8</v>
      </c>
      <c r="I319" s="19"/>
      <c r="J319" s="4" t="str">
        <f t="shared" si="13"/>
        <v>GA045</v>
      </c>
      <c r="K319" s="6" t="str">
        <f>IFERROR(VLOOKUP(J319,'Inadimplencia - FEV 2025'!$A$5:$E$85,4,0),"0")</f>
        <v>0</v>
      </c>
      <c r="L319" s="6" t="str">
        <f>IFERROR(VLOOKUP(J319,'Inadimplencia - Out 2025'!$A$5:$E$85,4,0),"0")</f>
        <v>0</v>
      </c>
      <c r="M319" s="31">
        <f t="shared" si="11"/>
        <v>0</v>
      </c>
      <c r="N319" s="5"/>
    </row>
    <row r="320" spans="1:14" x14ac:dyDescent="0.25">
      <c r="A320" s="38"/>
      <c r="B320" s="16" t="s">
        <v>693</v>
      </c>
      <c r="C320" s="17" t="s">
        <v>595</v>
      </c>
      <c r="D320" s="17" t="s">
        <v>513</v>
      </c>
      <c r="E320" s="18">
        <v>48</v>
      </c>
      <c r="F320" s="18">
        <v>2</v>
      </c>
      <c r="G320" s="17" t="s">
        <v>118</v>
      </c>
      <c r="H320" s="18">
        <v>8</v>
      </c>
      <c r="I320" s="19"/>
      <c r="J320" s="4" t="str">
        <f t="shared" si="13"/>
        <v>GA048</v>
      </c>
      <c r="K320" s="6" t="str">
        <f>IFERROR(VLOOKUP(J320,'Inadimplencia - FEV 2025'!$A$5:$E$85,4,0),"0")</f>
        <v>0</v>
      </c>
      <c r="L320" s="6" t="str">
        <f>IFERROR(VLOOKUP(J320,'Inadimplencia - Out 2025'!$A$5:$E$85,4,0),"0")</f>
        <v>0</v>
      </c>
      <c r="M320" s="31">
        <f t="shared" si="11"/>
        <v>0</v>
      </c>
      <c r="N320" s="5"/>
    </row>
    <row r="321" spans="1:14" x14ac:dyDescent="0.25">
      <c r="A321" s="38"/>
      <c r="B321" s="20" t="s">
        <v>695</v>
      </c>
      <c r="C321" s="17" t="s">
        <v>597</v>
      </c>
      <c r="D321" s="17" t="s">
        <v>513</v>
      </c>
      <c r="E321" s="18">
        <v>49</v>
      </c>
      <c r="F321" s="18">
        <v>2</v>
      </c>
      <c r="G321" s="17" t="s">
        <v>118</v>
      </c>
      <c r="H321" s="18">
        <v>8</v>
      </c>
      <c r="I321" s="19"/>
      <c r="J321" s="4" t="str">
        <f t="shared" si="13"/>
        <v>GA049</v>
      </c>
      <c r="K321" s="6" t="str">
        <f>IFERROR(VLOOKUP(J321,'Inadimplencia - FEV 2025'!$A$5:$E$85,4,0),"0")</f>
        <v>0</v>
      </c>
      <c r="L321" s="6" t="str">
        <f>IFERROR(VLOOKUP(J321,'Inadimplencia - Out 2025'!$A$5:$E$85,4,0),"0")</f>
        <v>0</v>
      </c>
      <c r="M321" s="31">
        <f t="shared" si="11"/>
        <v>0</v>
      </c>
      <c r="N321" s="5"/>
    </row>
    <row r="322" spans="1:14" ht="25.5" x14ac:dyDescent="0.25">
      <c r="A322" s="38"/>
      <c r="B322" s="16" t="s">
        <v>697</v>
      </c>
      <c r="C322" s="21" t="s">
        <v>213</v>
      </c>
      <c r="D322" s="21" t="s">
        <v>513</v>
      </c>
      <c r="E322" s="22">
        <v>50</v>
      </c>
      <c r="F322" s="22">
        <v>2</v>
      </c>
      <c r="G322" s="21" t="s">
        <v>133</v>
      </c>
      <c r="H322" s="22">
        <v>8</v>
      </c>
      <c r="I322" s="19"/>
      <c r="J322" s="4" t="str">
        <f t="shared" si="13"/>
        <v>GA050</v>
      </c>
      <c r="K322" s="6" t="str">
        <f>IFERROR(VLOOKUP(J322,'Inadimplencia - FEV 2025'!$A$5:$E$85,4,0),"0")</f>
        <v>0</v>
      </c>
      <c r="L322" s="6" t="str">
        <f>IFERROR(VLOOKUP(J322,'Inadimplencia - Out 2025'!$A$5:$E$85,4,0),"0")</f>
        <v>0</v>
      </c>
      <c r="M322" s="31">
        <f t="shared" si="11"/>
        <v>0</v>
      </c>
      <c r="N322" s="5"/>
    </row>
    <row r="323" spans="1:14" x14ac:dyDescent="0.25">
      <c r="A323" s="38"/>
      <c r="B323" s="20" t="s">
        <v>699</v>
      </c>
      <c r="C323" s="17" t="s">
        <v>454</v>
      </c>
      <c r="D323" s="17" t="s">
        <v>513</v>
      </c>
      <c r="E323" s="18">
        <v>51</v>
      </c>
      <c r="F323" s="18">
        <v>2</v>
      </c>
      <c r="G323" s="17" t="s">
        <v>133</v>
      </c>
      <c r="H323" s="18">
        <v>8</v>
      </c>
      <c r="I323" s="19"/>
      <c r="J323" s="4" t="str">
        <f t="shared" si="13"/>
        <v>GA051</v>
      </c>
      <c r="K323" s="6" t="str">
        <f>IFERROR(VLOOKUP(J323,'Inadimplencia - FEV 2025'!$A$5:$E$85,4,0),"0")</f>
        <v>0</v>
      </c>
      <c r="L323" s="6" t="str">
        <f>IFERROR(VLOOKUP(J323,'Inadimplencia - Out 2025'!$A$5:$E$85,4,0),"0")</f>
        <v>0</v>
      </c>
      <c r="M323" s="31">
        <f t="shared" si="11"/>
        <v>0</v>
      </c>
      <c r="N323" s="5"/>
    </row>
    <row r="324" spans="1:14" x14ac:dyDescent="0.25">
      <c r="A324" s="38"/>
      <c r="B324" s="16" t="s">
        <v>701</v>
      </c>
      <c r="C324" s="21" t="s">
        <v>599</v>
      </c>
      <c r="D324" s="21" t="s">
        <v>513</v>
      </c>
      <c r="E324" s="22">
        <v>52</v>
      </c>
      <c r="F324" s="22">
        <v>2</v>
      </c>
      <c r="G324" s="21" t="s">
        <v>118</v>
      </c>
      <c r="H324" s="22">
        <v>8</v>
      </c>
      <c r="I324" s="19"/>
      <c r="J324" s="4" t="str">
        <f t="shared" si="13"/>
        <v>GA052</v>
      </c>
      <c r="K324" s="6" t="str">
        <f>IFERROR(VLOOKUP(J324,'Inadimplencia - FEV 2025'!$A$5:$E$85,4,0),"0")</f>
        <v>0</v>
      </c>
      <c r="L324" s="6" t="str">
        <f>IFERROR(VLOOKUP(J324,'Inadimplencia - Out 2025'!$A$5:$E$85,4,0),"0")</f>
        <v>0</v>
      </c>
      <c r="M324" s="31">
        <f t="shared" si="11"/>
        <v>0</v>
      </c>
      <c r="N324" s="5"/>
    </row>
    <row r="325" spans="1:14" x14ac:dyDescent="0.25">
      <c r="A325" s="38"/>
      <c r="B325" s="20" t="s">
        <v>703</v>
      </c>
      <c r="C325" s="21" t="s">
        <v>601</v>
      </c>
      <c r="D325" s="21" t="s">
        <v>513</v>
      </c>
      <c r="E325" s="22">
        <v>53</v>
      </c>
      <c r="F325" s="22">
        <v>2</v>
      </c>
      <c r="G325" s="21" t="s">
        <v>118</v>
      </c>
      <c r="H325" s="22">
        <v>8</v>
      </c>
      <c r="I325" s="19"/>
      <c r="J325" s="4" t="str">
        <f t="shared" si="13"/>
        <v>GA053</v>
      </c>
      <c r="K325" s="6" t="str">
        <f>IFERROR(VLOOKUP(J325,'Inadimplencia - FEV 2025'!$A$5:$E$85,4,0),"0")</f>
        <v>0</v>
      </c>
      <c r="L325" s="6" t="str">
        <f>IFERROR(VLOOKUP(J325,'Inadimplencia - Out 2025'!$A$5:$E$85,4,0),"0")</f>
        <v>0</v>
      </c>
      <c r="M325" s="31">
        <f t="shared" si="11"/>
        <v>0</v>
      </c>
      <c r="N325" s="5"/>
    </row>
    <row r="326" spans="1:14" x14ac:dyDescent="0.25">
      <c r="A326" s="38"/>
      <c r="B326" s="16" t="s">
        <v>705</v>
      </c>
      <c r="C326" s="17" t="s">
        <v>603</v>
      </c>
      <c r="D326" s="17" t="s">
        <v>513</v>
      </c>
      <c r="E326" s="18">
        <v>54</v>
      </c>
      <c r="F326" s="18">
        <v>2</v>
      </c>
      <c r="G326" s="17" t="s">
        <v>118</v>
      </c>
      <c r="H326" s="18">
        <v>8</v>
      </c>
      <c r="I326" s="19"/>
      <c r="J326" s="4" t="str">
        <f t="shared" si="13"/>
        <v>GA054</v>
      </c>
      <c r="K326" s="6" t="str">
        <f>IFERROR(VLOOKUP(J326,'Inadimplencia - FEV 2025'!$A$5:$E$85,4,0),"0")</f>
        <v>0</v>
      </c>
      <c r="L326" s="6" t="str">
        <f>IFERROR(VLOOKUP(J326,'Inadimplencia - Out 2025'!$A$5:$E$85,4,0),"0")</f>
        <v>0</v>
      </c>
      <c r="M326" s="31">
        <f t="shared" si="11"/>
        <v>0</v>
      </c>
      <c r="N326" s="5"/>
    </row>
    <row r="327" spans="1:14" x14ac:dyDescent="0.25">
      <c r="A327" s="38"/>
      <c r="B327" s="20" t="s">
        <v>707</v>
      </c>
      <c r="C327" s="17" t="s">
        <v>607</v>
      </c>
      <c r="D327" s="17" t="s">
        <v>513</v>
      </c>
      <c r="E327" s="18">
        <v>56</v>
      </c>
      <c r="F327" s="18">
        <v>2</v>
      </c>
      <c r="G327" s="17" t="s">
        <v>118</v>
      </c>
      <c r="H327" s="18">
        <v>8</v>
      </c>
      <c r="I327" s="19"/>
      <c r="J327" s="4" t="str">
        <f t="shared" si="13"/>
        <v>GA056</v>
      </c>
      <c r="K327" s="6" t="str">
        <f>IFERROR(VLOOKUP(J327,'Inadimplencia - FEV 2025'!$A$5:$E$85,4,0),"0")</f>
        <v>0</v>
      </c>
      <c r="L327" s="6" t="str">
        <f>IFERROR(VLOOKUP(J327,'Inadimplencia - Out 2025'!$A$5:$E$85,4,0),"0")</f>
        <v>0</v>
      </c>
      <c r="M327" s="31">
        <f t="shared" ref="M327:M390" si="14">L327-K327</f>
        <v>0</v>
      </c>
      <c r="N327" s="5"/>
    </row>
    <row r="328" spans="1:14" x14ac:dyDescent="0.25">
      <c r="A328" s="38"/>
      <c r="B328" s="16" t="s">
        <v>709</v>
      </c>
      <c r="C328" s="17" t="s">
        <v>611</v>
      </c>
      <c r="D328" s="17" t="s">
        <v>513</v>
      </c>
      <c r="E328" s="18">
        <v>58</v>
      </c>
      <c r="F328" s="18">
        <v>2</v>
      </c>
      <c r="G328" s="17" t="s">
        <v>118</v>
      </c>
      <c r="H328" s="18">
        <v>8</v>
      </c>
      <c r="I328" s="19"/>
      <c r="J328" s="4" t="str">
        <f t="shared" si="13"/>
        <v>GA058</v>
      </c>
      <c r="K328" s="6" t="str">
        <f>IFERROR(VLOOKUP(J328,'Inadimplencia - FEV 2025'!$A$5:$E$85,4,0),"0")</f>
        <v>0</v>
      </c>
      <c r="L328" s="6" t="str">
        <f>IFERROR(VLOOKUP(J328,'Inadimplencia - Out 2025'!$A$5:$E$85,4,0),"0")</f>
        <v>0</v>
      </c>
      <c r="M328" s="31">
        <f t="shared" si="14"/>
        <v>0</v>
      </c>
      <c r="N328" s="5"/>
    </row>
    <row r="329" spans="1:14" x14ac:dyDescent="0.25">
      <c r="A329" s="38"/>
      <c r="B329" s="20" t="s">
        <v>711</v>
      </c>
      <c r="C329" s="17" t="s">
        <v>613</v>
      </c>
      <c r="D329" s="17" t="s">
        <v>513</v>
      </c>
      <c r="E329" s="18">
        <v>59</v>
      </c>
      <c r="F329" s="18">
        <v>2</v>
      </c>
      <c r="G329" s="17" t="s">
        <v>118</v>
      </c>
      <c r="H329" s="18">
        <v>8</v>
      </c>
      <c r="I329" s="19"/>
      <c r="J329" s="4" t="str">
        <f t="shared" si="13"/>
        <v>GA059</v>
      </c>
      <c r="K329" s="6" t="str">
        <f>IFERROR(VLOOKUP(J329,'Inadimplencia - FEV 2025'!$A$5:$E$85,4,0),"0")</f>
        <v>0</v>
      </c>
      <c r="L329" s="6" t="str">
        <f>IFERROR(VLOOKUP(J329,'Inadimplencia - Out 2025'!$A$5:$E$85,4,0),"0")</f>
        <v>0</v>
      </c>
      <c r="M329" s="31">
        <f t="shared" si="14"/>
        <v>0</v>
      </c>
      <c r="N329" s="5"/>
    </row>
    <row r="330" spans="1:14" ht="25.5" x14ac:dyDescent="0.25">
      <c r="A330" s="38"/>
      <c r="B330" s="20" t="s">
        <v>713</v>
      </c>
      <c r="C330" s="21" t="s">
        <v>615</v>
      </c>
      <c r="D330" s="21" t="s">
        <v>513</v>
      </c>
      <c r="E330" s="22">
        <v>60</v>
      </c>
      <c r="F330" s="22">
        <v>2</v>
      </c>
      <c r="G330" s="21" t="s">
        <v>118</v>
      </c>
      <c r="H330" s="22">
        <v>8</v>
      </c>
      <c r="I330" s="19"/>
      <c r="J330" s="4" t="str">
        <f t="shared" si="13"/>
        <v>GA060</v>
      </c>
      <c r="K330" s="6" t="str">
        <f>IFERROR(VLOOKUP(J330,'Inadimplencia - FEV 2025'!$A$5:$E$85,4,0),"0")</f>
        <v>0</v>
      </c>
      <c r="L330" s="6" t="str">
        <f>IFERROR(VLOOKUP(J330,'Inadimplencia - Out 2025'!$A$5:$E$85,4,0),"0")</f>
        <v>0</v>
      </c>
      <c r="M330" s="31">
        <f t="shared" si="14"/>
        <v>0</v>
      </c>
      <c r="N330" s="5"/>
    </row>
    <row r="331" spans="1:14" x14ac:dyDescent="0.25">
      <c r="A331" s="38"/>
      <c r="B331" s="20" t="s">
        <v>715</v>
      </c>
      <c r="C331" s="21" t="s">
        <v>617</v>
      </c>
      <c r="D331" s="21" t="s">
        <v>513</v>
      </c>
      <c r="E331" s="22">
        <v>61</v>
      </c>
      <c r="F331" s="22">
        <v>2</v>
      </c>
      <c r="G331" s="21" t="s">
        <v>118</v>
      </c>
      <c r="H331" s="22">
        <v>8</v>
      </c>
      <c r="I331" s="19"/>
      <c r="J331" s="4" t="str">
        <f t="shared" si="13"/>
        <v>GA061</v>
      </c>
      <c r="K331" s="6" t="str">
        <f>IFERROR(VLOOKUP(J331,'Inadimplencia - FEV 2025'!$A$5:$E$85,4,0),"0")</f>
        <v>0</v>
      </c>
      <c r="L331" s="6" t="str">
        <f>IFERROR(VLOOKUP(J331,'Inadimplencia - Out 2025'!$A$5:$E$85,4,0),"0")</f>
        <v>0</v>
      </c>
      <c r="M331" s="31">
        <f t="shared" si="14"/>
        <v>0</v>
      </c>
      <c r="N331" s="5"/>
    </row>
    <row r="332" spans="1:14" x14ac:dyDescent="0.25">
      <c r="A332" s="38"/>
      <c r="B332" s="16" t="s">
        <v>717</v>
      </c>
      <c r="C332" s="17" t="s">
        <v>619</v>
      </c>
      <c r="D332" s="17" t="s">
        <v>513</v>
      </c>
      <c r="E332" s="18">
        <v>62</v>
      </c>
      <c r="F332" s="18">
        <v>2</v>
      </c>
      <c r="G332" s="17" t="s">
        <v>118</v>
      </c>
      <c r="H332" s="18">
        <v>8</v>
      </c>
      <c r="I332" s="19"/>
      <c r="J332" s="4" t="str">
        <f t="shared" si="13"/>
        <v>GA062</v>
      </c>
      <c r="K332" s="6" t="str">
        <f>IFERROR(VLOOKUP(J332,'Inadimplencia - FEV 2025'!$A$5:$E$85,4,0),"0")</f>
        <v>0</v>
      </c>
      <c r="L332" s="6" t="str">
        <f>IFERROR(VLOOKUP(J332,'Inadimplencia - Out 2025'!$A$5:$E$85,4,0),"0")</f>
        <v>0</v>
      </c>
      <c r="M332" s="31">
        <f t="shared" si="14"/>
        <v>0</v>
      </c>
      <c r="N332" s="5"/>
    </row>
    <row r="333" spans="1:14" ht="25.5" x14ac:dyDescent="0.25">
      <c r="A333" s="38"/>
      <c r="B333" s="16" t="s">
        <v>719</v>
      </c>
      <c r="C333" s="21" t="s">
        <v>621</v>
      </c>
      <c r="D333" s="21" t="s">
        <v>513</v>
      </c>
      <c r="E333" s="22">
        <v>63</v>
      </c>
      <c r="F333" s="22">
        <v>2</v>
      </c>
      <c r="G333" s="21" t="s">
        <v>118</v>
      </c>
      <c r="H333" s="22">
        <v>8</v>
      </c>
      <c r="I333" s="19"/>
      <c r="J333" s="4" t="str">
        <f t="shared" si="13"/>
        <v>GA063</v>
      </c>
      <c r="K333" s="6" t="str">
        <f>IFERROR(VLOOKUP(J333,'Inadimplencia - FEV 2025'!$A$5:$E$85,4,0),"0")</f>
        <v>0</v>
      </c>
      <c r="L333" s="6" t="str">
        <f>IFERROR(VLOOKUP(J333,'Inadimplencia - Out 2025'!$A$5:$E$85,4,0),"0")</f>
        <v>0</v>
      </c>
      <c r="M333" s="31">
        <f t="shared" si="14"/>
        <v>0</v>
      </c>
      <c r="N333" s="5"/>
    </row>
    <row r="334" spans="1:14" ht="25.5" x14ac:dyDescent="0.25">
      <c r="A334" s="38"/>
      <c r="B334" s="20" t="s">
        <v>721</v>
      </c>
      <c r="C334" s="17" t="s">
        <v>623</v>
      </c>
      <c r="D334" s="17" t="s">
        <v>513</v>
      </c>
      <c r="E334" s="18">
        <v>64</v>
      </c>
      <c r="F334" s="18">
        <v>2</v>
      </c>
      <c r="G334" s="17" t="s">
        <v>118</v>
      </c>
      <c r="H334" s="18">
        <v>8</v>
      </c>
      <c r="I334" s="19"/>
      <c r="J334" s="4" t="str">
        <f t="shared" si="13"/>
        <v>GA064</v>
      </c>
      <c r="K334" s="6" t="str">
        <f>IFERROR(VLOOKUP(J334,'Inadimplencia - FEV 2025'!$A$5:$E$85,4,0),"0")</f>
        <v>0</v>
      </c>
      <c r="L334" s="6" t="str">
        <f>IFERROR(VLOOKUP(J334,'Inadimplencia - Out 2025'!$A$5:$E$85,4,0),"0")</f>
        <v>0</v>
      </c>
      <c r="M334" s="31">
        <f t="shared" si="14"/>
        <v>0</v>
      </c>
      <c r="N334" s="5"/>
    </row>
    <row r="335" spans="1:14" x14ac:dyDescent="0.25">
      <c r="A335" s="38"/>
      <c r="B335" s="20" t="s">
        <v>723</v>
      </c>
      <c r="C335" s="17" t="s">
        <v>625</v>
      </c>
      <c r="D335" s="17" t="s">
        <v>513</v>
      </c>
      <c r="E335" s="18">
        <v>65</v>
      </c>
      <c r="F335" s="18">
        <v>2</v>
      </c>
      <c r="G335" s="17" t="s">
        <v>118</v>
      </c>
      <c r="H335" s="18">
        <v>8</v>
      </c>
      <c r="I335" s="19"/>
      <c r="J335" s="4" t="str">
        <f t="shared" si="13"/>
        <v>GA065</v>
      </c>
      <c r="K335" s="6" t="str">
        <f>IFERROR(VLOOKUP(J335,'Inadimplencia - FEV 2025'!$A$5:$E$85,4,0),"0")</f>
        <v>0</v>
      </c>
      <c r="L335" s="6" t="str">
        <f>IFERROR(VLOOKUP(J335,'Inadimplencia - Out 2025'!$A$5:$E$85,4,0),"0")</f>
        <v>0</v>
      </c>
      <c r="M335" s="31">
        <f t="shared" si="14"/>
        <v>0</v>
      </c>
      <c r="N335" s="5"/>
    </row>
    <row r="336" spans="1:14" x14ac:dyDescent="0.25">
      <c r="A336" s="38"/>
      <c r="B336" s="20" t="s">
        <v>725</v>
      </c>
      <c r="C336" s="17" t="s">
        <v>627</v>
      </c>
      <c r="D336" s="17" t="s">
        <v>513</v>
      </c>
      <c r="E336" s="18">
        <v>66</v>
      </c>
      <c r="F336" s="18">
        <v>2</v>
      </c>
      <c r="G336" s="17" t="s">
        <v>118</v>
      </c>
      <c r="H336" s="18">
        <v>8</v>
      </c>
      <c r="I336" s="19"/>
      <c r="J336" s="4" t="str">
        <f t="shared" si="13"/>
        <v>GA066</v>
      </c>
      <c r="K336" s="6" t="str">
        <f>IFERROR(VLOOKUP(J336,'Inadimplencia - FEV 2025'!$A$5:$E$85,4,0),"0")</f>
        <v>0</v>
      </c>
      <c r="L336" s="6" t="str">
        <f>IFERROR(VLOOKUP(J336,'Inadimplencia - Out 2025'!$A$5:$E$85,4,0),"0")</f>
        <v>0</v>
      </c>
      <c r="M336" s="31">
        <f t="shared" si="14"/>
        <v>0</v>
      </c>
      <c r="N336" s="5"/>
    </row>
    <row r="337" spans="1:14" x14ac:dyDescent="0.25">
      <c r="A337" s="38"/>
      <c r="B337" s="16" t="s">
        <v>727</v>
      </c>
      <c r="C337" s="17" t="s">
        <v>629</v>
      </c>
      <c r="D337" s="17" t="s">
        <v>513</v>
      </c>
      <c r="E337" s="18">
        <v>67</v>
      </c>
      <c r="F337" s="18">
        <v>2</v>
      </c>
      <c r="G337" s="17" t="s">
        <v>118</v>
      </c>
      <c r="H337" s="18">
        <v>8</v>
      </c>
      <c r="I337" s="19"/>
      <c r="J337" s="4" t="str">
        <f t="shared" si="13"/>
        <v>GA067</v>
      </c>
      <c r="K337" s="6" t="str">
        <f>IFERROR(VLOOKUP(J337,'Inadimplencia - FEV 2025'!$A$5:$E$85,4,0),"0")</f>
        <v>0</v>
      </c>
      <c r="L337" s="6" t="str">
        <f>IFERROR(VLOOKUP(J337,'Inadimplencia - Out 2025'!$A$5:$E$85,4,0),"0")</f>
        <v>0</v>
      </c>
      <c r="M337" s="31">
        <f t="shared" si="14"/>
        <v>0</v>
      </c>
      <c r="N337" s="5"/>
    </row>
    <row r="338" spans="1:14" x14ac:dyDescent="0.25">
      <c r="A338" s="38"/>
      <c r="B338" s="20" t="s">
        <v>729</v>
      </c>
      <c r="C338" s="21" t="s">
        <v>631</v>
      </c>
      <c r="D338" s="21" t="s">
        <v>513</v>
      </c>
      <c r="E338" s="22">
        <v>68</v>
      </c>
      <c r="F338" s="22">
        <v>2</v>
      </c>
      <c r="G338" s="21" t="s">
        <v>118</v>
      </c>
      <c r="H338" s="22">
        <v>8</v>
      </c>
      <c r="I338" s="19"/>
      <c r="J338" s="4" t="str">
        <f t="shared" si="13"/>
        <v>GA068</v>
      </c>
      <c r="K338" s="6" t="str">
        <f>IFERROR(VLOOKUP(J338,'Inadimplencia - FEV 2025'!$A$5:$E$85,4,0),"0")</f>
        <v>0</v>
      </c>
      <c r="L338" s="6" t="str">
        <f>IFERROR(VLOOKUP(J338,'Inadimplencia - Out 2025'!$A$5:$E$85,4,0),"0")</f>
        <v>0</v>
      </c>
      <c r="M338" s="31">
        <f t="shared" si="14"/>
        <v>0</v>
      </c>
      <c r="N338" s="5"/>
    </row>
    <row r="339" spans="1:14" x14ac:dyDescent="0.25">
      <c r="A339" s="38"/>
      <c r="B339" s="16" t="s">
        <v>731</v>
      </c>
      <c r="C339" s="21" t="s">
        <v>633</v>
      </c>
      <c r="D339" s="21" t="s">
        <v>513</v>
      </c>
      <c r="E339" s="22">
        <v>69</v>
      </c>
      <c r="F339" s="22">
        <v>2</v>
      </c>
      <c r="G339" s="21" t="s">
        <v>118</v>
      </c>
      <c r="H339" s="22">
        <v>8</v>
      </c>
      <c r="I339" s="19"/>
      <c r="J339" s="4" t="str">
        <f t="shared" si="13"/>
        <v>GA069</v>
      </c>
      <c r="K339" s="6" t="str">
        <f>IFERROR(VLOOKUP(J339,'Inadimplencia - FEV 2025'!$A$5:$E$85,4,0),"0")</f>
        <v>0</v>
      </c>
      <c r="L339" s="6" t="str">
        <f>IFERROR(VLOOKUP(J339,'Inadimplencia - Out 2025'!$A$5:$E$85,4,0),"0")</f>
        <v>0</v>
      </c>
      <c r="M339" s="31">
        <f t="shared" si="14"/>
        <v>0</v>
      </c>
      <c r="N339" s="5"/>
    </row>
    <row r="340" spans="1:14" x14ac:dyDescent="0.25">
      <c r="A340" s="38"/>
      <c r="B340" s="20" t="s">
        <v>733</v>
      </c>
      <c r="C340" s="17" t="s">
        <v>635</v>
      </c>
      <c r="D340" s="17" t="s">
        <v>513</v>
      </c>
      <c r="E340" s="18">
        <v>70</v>
      </c>
      <c r="F340" s="18">
        <v>2</v>
      </c>
      <c r="G340" s="17" t="s">
        <v>118</v>
      </c>
      <c r="H340" s="18">
        <v>8</v>
      </c>
      <c r="I340" s="19"/>
      <c r="J340" s="4" t="str">
        <f t="shared" si="13"/>
        <v>GA070</v>
      </c>
      <c r="K340" s="6" t="str">
        <f>IFERROR(VLOOKUP(J340,'Inadimplencia - FEV 2025'!$A$5:$E$85,4,0),"0")</f>
        <v>0</v>
      </c>
      <c r="L340" s="6" t="str">
        <f>IFERROR(VLOOKUP(J340,'Inadimplencia - Out 2025'!$A$5:$E$85,4,0),"0")</f>
        <v>0</v>
      </c>
      <c r="M340" s="31">
        <f t="shared" si="14"/>
        <v>0</v>
      </c>
      <c r="N340" s="5"/>
    </row>
    <row r="341" spans="1:14" x14ac:dyDescent="0.25">
      <c r="A341" s="38"/>
      <c r="B341" s="16" t="s">
        <v>735</v>
      </c>
      <c r="C341" s="21" t="s">
        <v>637</v>
      </c>
      <c r="D341" s="21" t="s">
        <v>513</v>
      </c>
      <c r="E341" s="22">
        <v>71</v>
      </c>
      <c r="F341" s="22">
        <v>2</v>
      </c>
      <c r="G341" s="21" t="s">
        <v>118</v>
      </c>
      <c r="H341" s="22">
        <v>8</v>
      </c>
      <c r="I341" s="19"/>
      <c r="J341" s="4" t="str">
        <f t="shared" si="13"/>
        <v>GA071</v>
      </c>
      <c r="K341" s="6" t="str">
        <f>IFERROR(VLOOKUP(J341,'Inadimplencia - FEV 2025'!$A$5:$E$85,4,0),"0")</f>
        <v>0</v>
      </c>
      <c r="L341" s="6" t="str">
        <f>IFERROR(VLOOKUP(J341,'Inadimplencia - Out 2025'!$A$5:$E$85,4,0),"0")</f>
        <v>0</v>
      </c>
      <c r="M341" s="31">
        <f t="shared" si="14"/>
        <v>0</v>
      </c>
      <c r="N341" s="5"/>
    </row>
    <row r="342" spans="1:14" x14ac:dyDescent="0.25">
      <c r="A342" s="38"/>
      <c r="B342" s="16" t="s">
        <v>737</v>
      </c>
      <c r="C342" s="21" t="s">
        <v>639</v>
      </c>
      <c r="D342" s="21" t="s">
        <v>513</v>
      </c>
      <c r="E342" s="22">
        <v>72</v>
      </c>
      <c r="F342" s="22">
        <v>2</v>
      </c>
      <c r="G342" s="21" t="s">
        <v>118</v>
      </c>
      <c r="H342" s="22">
        <v>8</v>
      </c>
      <c r="I342" s="19"/>
      <c r="J342" s="4" t="str">
        <f t="shared" si="13"/>
        <v>GA072</v>
      </c>
      <c r="K342" s="6" t="str">
        <f>IFERROR(VLOOKUP(J342,'Inadimplencia - FEV 2025'!$A$5:$E$85,4,0),"0")</f>
        <v>0</v>
      </c>
      <c r="L342" s="6" t="str">
        <f>IFERROR(VLOOKUP(J342,'Inadimplencia - Out 2025'!$A$5:$E$85,4,0),"0")</f>
        <v>0</v>
      </c>
      <c r="M342" s="31">
        <f t="shared" si="14"/>
        <v>0</v>
      </c>
      <c r="N342" s="5"/>
    </row>
    <row r="343" spans="1:14" x14ac:dyDescent="0.25">
      <c r="A343" s="38"/>
      <c r="B343" s="16" t="s">
        <v>739</v>
      </c>
      <c r="C343" s="21" t="s">
        <v>643</v>
      </c>
      <c r="D343" s="21" t="s">
        <v>513</v>
      </c>
      <c r="E343" s="22">
        <v>74</v>
      </c>
      <c r="F343" s="22">
        <v>2</v>
      </c>
      <c r="G343" s="21" t="s">
        <v>118</v>
      </c>
      <c r="H343" s="22">
        <v>8</v>
      </c>
      <c r="I343" s="19"/>
      <c r="J343" s="4" t="str">
        <f t="shared" si="13"/>
        <v>GA074</v>
      </c>
      <c r="K343" s="6" t="str">
        <f>IFERROR(VLOOKUP(J343,'Inadimplencia - FEV 2025'!$A$5:$E$85,4,0),"0")</f>
        <v>0</v>
      </c>
      <c r="L343" s="6" t="str">
        <f>IFERROR(VLOOKUP(J343,'Inadimplencia - Out 2025'!$A$5:$E$85,4,0),"0")</f>
        <v>0</v>
      </c>
      <c r="M343" s="31">
        <f t="shared" si="14"/>
        <v>0</v>
      </c>
      <c r="N343" s="5"/>
    </row>
    <row r="344" spans="1:14" x14ac:dyDescent="0.25">
      <c r="A344" s="38"/>
      <c r="B344" s="16" t="s">
        <v>741</v>
      </c>
      <c r="C344" s="17" t="s">
        <v>647</v>
      </c>
      <c r="D344" s="17" t="s">
        <v>513</v>
      </c>
      <c r="E344" s="18">
        <v>76</v>
      </c>
      <c r="F344" s="18">
        <v>2</v>
      </c>
      <c r="G344" s="17" t="s">
        <v>118</v>
      </c>
      <c r="H344" s="18">
        <v>8</v>
      </c>
      <c r="I344" s="19"/>
      <c r="J344" s="4" t="str">
        <f t="shared" si="13"/>
        <v>GA076</v>
      </c>
      <c r="K344" s="6" t="str">
        <f>IFERROR(VLOOKUP(J344,'Inadimplencia - FEV 2025'!$A$5:$E$85,4,0),"0")</f>
        <v>0</v>
      </c>
      <c r="L344" s="6" t="str">
        <f>IFERROR(VLOOKUP(J344,'Inadimplencia - Out 2025'!$A$5:$E$85,4,0),"0")</f>
        <v>0</v>
      </c>
      <c r="M344" s="31">
        <f t="shared" si="14"/>
        <v>0</v>
      </c>
      <c r="N344" s="5"/>
    </row>
    <row r="345" spans="1:14" x14ac:dyDescent="0.25">
      <c r="A345" s="38"/>
      <c r="B345" s="20" t="s">
        <v>743</v>
      </c>
      <c r="C345" s="21" t="s">
        <v>649</v>
      </c>
      <c r="D345" s="21" t="s">
        <v>513</v>
      </c>
      <c r="E345" s="22">
        <v>77</v>
      </c>
      <c r="F345" s="22">
        <v>2</v>
      </c>
      <c r="G345" s="21" t="s">
        <v>118</v>
      </c>
      <c r="H345" s="22">
        <v>8</v>
      </c>
      <c r="I345" s="19"/>
      <c r="J345" s="4" t="str">
        <f t="shared" si="13"/>
        <v>GA077</v>
      </c>
      <c r="K345" s="6" t="str">
        <f>IFERROR(VLOOKUP(J345,'Inadimplencia - FEV 2025'!$A$5:$E$85,4,0),"0")</f>
        <v>0</v>
      </c>
      <c r="L345" s="6" t="str">
        <f>IFERROR(VLOOKUP(J345,'Inadimplencia - Out 2025'!$A$5:$E$85,4,0),"0")</f>
        <v>0</v>
      </c>
      <c r="M345" s="31">
        <f t="shared" si="14"/>
        <v>0</v>
      </c>
      <c r="N345" s="5"/>
    </row>
    <row r="346" spans="1:14" ht="25.5" x14ac:dyDescent="0.25">
      <c r="A346" s="38"/>
      <c r="B346" s="20" t="s">
        <v>745</v>
      </c>
      <c r="C346" s="21" t="s">
        <v>651</v>
      </c>
      <c r="D346" s="21" t="s">
        <v>513</v>
      </c>
      <c r="E346" s="22">
        <v>78</v>
      </c>
      <c r="F346" s="22">
        <v>2</v>
      </c>
      <c r="G346" s="21" t="s">
        <v>118</v>
      </c>
      <c r="H346" s="22">
        <v>8</v>
      </c>
      <c r="I346" s="19"/>
      <c r="J346" s="4" t="str">
        <f t="shared" si="13"/>
        <v>GA078</v>
      </c>
      <c r="K346" s="6" t="str">
        <f>IFERROR(VLOOKUP(J346,'Inadimplencia - FEV 2025'!$A$5:$E$85,4,0),"0")</f>
        <v>0</v>
      </c>
      <c r="L346" s="6" t="str">
        <f>IFERROR(VLOOKUP(J346,'Inadimplencia - Out 2025'!$A$5:$E$85,4,0),"0")</f>
        <v>0</v>
      </c>
      <c r="M346" s="31">
        <f t="shared" si="14"/>
        <v>0</v>
      </c>
      <c r="N346" s="5"/>
    </row>
    <row r="347" spans="1:14" x14ac:dyDescent="0.25">
      <c r="A347" s="38"/>
      <c r="B347" s="16" t="s">
        <v>747</v>
      </c>
      <c r="C347" s="17" t="s">
        <v>653</v>
      </c>
      <c r="D347" s="17" t="s">
        <v>654</v>
      </c>
      <c r="E347" s="18">
        <v>1</v>
      </c>
      <c r="F347" s="18">
        <v>2</v>
      </c>
      <c r="G347" s="17" t="s">
        <v>118</v>
      </c>
      <c r="H347" s="18">
        <v>8</v>
      </c>
      <c r="I347" s="19"/>
      <c r="J347" s="4" t="str">
        <f t="shared" ref="J347:J393" si="15">"JA" &amp; TEXT(E347, "000")</f>
        <v>JA001</v>
      </c>
      <c r="K347" s="6" t="str">
        <f>IFERROR(VLOOKUP(J347,'Inadimplencia - FEV 2025'!$A$5:$E$85,4,0),"0")</f>
        <v>0</v>
      </c>
      <c r="L347" s="6" t="str">
        <f>IFERROR(VLOOKUP(J347,'Inadimplencia - Out 2025'!$A$5:$E$85,4,0),"0")</f>
        <v>0</v>
      </c>
      <c r="M347" s="31">
        <f t="shared" si="14"/>
        <v>0</v>
      </c>
      <c r="N347" s="5"/>
    </row>
    <row r="348" spans="1:14" x14ac:dyDescent="0.25">
      <c r="A348" s="38"/>
      <c r="B348" s="16" t="s">
        <v>749</v>
      </c>
      <c r="C348" s="17" t="s">
        <v>660</v>
      </c>
      <c r="D348" s="17" t="s">
        <v>654</v>
      </c>
      <c r="E348" s="18">
        <v>4</v>
      </c>
      <c r="F348" s="18">
        <v>2</v>
      </c>
      <c r="G348" s="17" t="s">
        <v>118</v>
      </c>
      <c r="H348" s="18">
        <v>8</v>
      </c>
      <c r="I348" s="19"/>
      <c r="J348" s="4" t="str">
        <f t="shared" si="15"/>
        <v>JA004</v>
      </c>
      <c r="K348" s="6" t="str">
        <f>IFERROR(VLOOKUP(J348,'Inadimplencia - FEV 2025'!$A$5:$E$85,4,0),"0")</f>
        <v>0</v>
      </c>
      <c r="L348" s="6" t="str">
        <f>IFERROR(VLOOKUP(J348,'Inadimplencia - Out 2025'!$A$5:$E$85,4,0),"0")</f>
        <v>0</v>
      </c>
      <c r="M348" s="31">
        <f t="shared" si="14"/>
        <v>0</v>
      </c>
      <c r="N348" s="5"/>
    </row>
    <row r="349" spans="1:14" x14ac:dyDescent="0.25">
      <c r="A349" s="38"/>
      <c r="B349" s="16" t="s">
        <v>751</v>
      </c>
      <c r="C349" s="17" t="s">
        <v>662</v>
      </c>
      <c r="D349" s="17" t="s">
        <v>654</v>
      </c>
      <c r="E349" s="18">
        <v>5</v>
      </c>
      <c r="F349" s="18">
        <v>2</v>
      </c>
      <c r="G349" s="17" t="s">
        <v>118</v>
      </c>
      <c r="H349" s="18">
        <v>8</v>
      </c>
      <c r="I349" s="19"/>
      <c r="J349" s="4" t="str">
        <f t="shared" si="15"/>
        <v>JA005</v>
      </c>
      <c r="K349" s="6" t="str">
        <f>IFERROR(VLOOKUP(J349,'Inadimplencia - FEV 2025'!$A$5:$E$85,4,0),"0")</f>
        <v>0</v>
      </c>
      <c r="L349" s="6" t="str">
        <f>IFERROR(VLOOKUP(J349,'Inadimplencia - Out 2025'!$A$5:$E$85,4,0),"0")</f>
        <v>0</v>
      </c>
      <c r="M349" s="31">
        <f t="shared" si="14"/>
        <v>0</v>
      </c>
      <c r="N349" s="5"/>
    </row>
    <row r="350" spans="1:14" x14ac:dyDescent="0.25">
      <c r="A350" s="38"/>
      <c r="B350" s="16" t="s">
        <v>753</v>
      </c>
      <c r="C350" s="21" t="s">
        <v>664</v>
      </c>
      <c r="D350" s="21" t="s">
        <v>654</v>
      </c>
      <c r="E350" s="22">
        <v>6</v>
      </c>
      <c r="F350" s="22">
        <v>2</v>
      </c>
      <c r="G350" s="21" t="s">
        <v>118</v>
      </c>
      <c r="H350" s="22">
        <v>8</v>
      </c>
      <c r="I350" s="19"/>
      <c r="J350" s="4" t="str">
        <f t="shared" si="15"/>
        <v>JA006</v>
      </c>
      <c r="K350" s="6" t="str">
        <f>IFERROR(VLOOKUP(J350,'Inadimplencia - FEV 2025'!$A$5:$E$85,4,0),"0")</f>
        <v>0</v>
      </c>
      <c r="L350" s="6" t="str">
        <f>IFERROR(VLOOKUP(J350,'Inadimplencia - Out 2025'!$A$5:$E$85,4,0),"0")</f>
        <v>0</v>
      </c>
      <c r="M350" s="31">
        <f t="shared" si="14"/>
        <v>0</v>
      </c>
      <c r="N350" s="5"/>
    </row>
    <row r="351" spans="1:14" x14ac:dyDescent="0.25">
      <c r="A351" s="38"/>
      <c r="B351" s="20" t="s">
        <v>755</v>
      </c>
      <c r="C351" s="21" t="s">
        <v>666</v>
      </c>
      <c r="D351" s="21" t="s">
        <v>654</v>
      </c>
      <c r="E351" s="22">
        <v>7</v>
      </c>
      <c r="F351" s="22">
        <v>2</v>
      </c>
      <c r="G351" s="21" t="s">
        <v>118</v>
      </c>
      <c r="H351" s="22">
        <v>8</v>
      </c>
      <c r="I351" s="19"/>
      <c r="J351" s="4" t="str">
        <f t="shared" si="15"/>
        <v>JA007</v>
      </c>
      <c r="K351" s="6" t="str">
        <f>IFERROR(VLOOKUP(J351,'Inadimplencia - FEV 2025'!$A$5:$E$85,4,0),"0")</f>
        <v>0</v>
      </c>
      <c r="L351" s="6" t="str">
        <f>IFERROR(VLOOKUP(J351,'Inadimplencia - Out 2025'!$A$5:$E$85,4,0),"0")</f>
        <v>0</v>
      </c>
      <c r="M351" s="31">
        <f t="shared" si="14"/>
        <v>0</v>
      </c>
      <c r="N351" s="5"/>
    </row>
    <row r="352" spans="1:14" x14ac:dyDescent="0.25">
      <c r="A352" s="38"/>
      <c r="B352" s="16" t="s">
        <v>757</v>
      </c>
      <c r="C352" s="21" t="s">
        <v>668</v>
      </c>
      <c r="D352" s="21" t="s">
        <v>654</v>
      </c>
      <c r="E352" s="22">
        <v>8</v>
      </c>
      <c r="F352" s="22">
        <v>2</v>
      </c>
      <c r="G352" s="21" t="s">
        <v>118</v>
      </c>
      <c r="H352" s="22">
        <v>8</v>
      </c>
      <c r="I352" s="19"/>
      <c r="J352" s="4" t="str">
        <f t="shared" si="15"/>
        <v>JA008</v>
      </c>
      <c r="K352" s="6" t="str">
        <f>IFERROR(VLOOKUP(J352,'Inadimplencia - FEV 2025'!$A$5:$E$85,4,0),"0")</f>
        <v>0</v>
      </c>
      <c r="L352" s="6" t="str">
        <f>IFERROR(VLOOKUP(J352,'Inadimplencia - Out 2025'!$A$5:$E$85,4,0),"0")</f>
        <v>0</v>
      </c>
      <c r="M352" s="31">
        <f t="shared" si="14"/>
        <v>0</v>
      </c>
      <c r="N352" s="5"/>
    </row>
    <row r="353" spans="1:14" x14ac:dyDescent="0.25">
      <c r="A353" s="38"/>
      <c r="B353" s="20" t="s">
        <v>759</v>
      </c>
      <c r="C353" s="17" t="s">
        <v>670</v>
      </c>
      <c r="D353" s="17" t="s">
        <v>654</v>
      </c>
      <c r="E353" s="18">
        <v>9</v>
      </c>
      <c r="F353" s="18">
        <v>2</v>
      </c>
      <c r="G353" s="17" t="s">
        <v>118</v>
      </c>
      <c r="H353" s="18">
        <v>8</v>
      </c>
      <c r="I353" s="19"/>
      <c r="J353" s="4" t="str">
        <f t="shared" si="15"/>
        <v>JA009</v>
      </c>
      <c r="K353" s="6" t="str">
        <f>IFERROR(VLOOKUP(J353,'Inadimplencia - FEV 2025'!$A$5:$E$85,4,0),"0")</f>
        <v>0</v>
      </c>
      <c r="L353" s="6" t="str">
        <f>IFERROR(VLOOKUP(J353,'Inadimplencia - Out 2025'!$A$5:$E$85,4,0),"0")</f>
        <v>0</v>
      </c>
      <c r="M353" s="31">
        <f t="shared" si="14"/>
        <v>0</v>
      </c>
      <c r="N353" s="5"/>
    </row>
    <row r="354" spans="1:14" x14ac:dyDescent="0.25">
      <c r="A354" s="38"/>
      <c r="B354" s="20" t="s">
        <v>761</v>
      </c>
      <c r="C354" s="17" t="s">
        <v>672</v>
      </c>
      <c r="D354" s="17" t="s">
        <v>654</v>
      </c>
      <c r="E354" s="18">
        <v>10</v>
      </c>
      <c r="F354" s="18">
        <v>2</v>
      </c>
      <c r="G354" s="17" t="s">
        <v>118</v>
      </c>
      <c r="H354" s="18">
        <v>8</v>
      </c>
      <c r="I354" s="19"/>
      <c r="J354" s="4" t="str">
        <f t="shared" si="15"/>
        <v>JA010</v>
      </c>
      <c r="K354" s="6" t="str">
        <f>IFERROR(VLOOKUP(J354,'Inadimplencia - FEV 2025'!$A$5:$E$85,4,0),"0")</f>
        <v>0</v>
      </c>
      <c r="L354" s="6" t="str">
        <f>IFERROR(VLOOKUP(J354,'Inadimplencia - Out 2025'!$A$5:$E$85,4,0),"0")</f>
        <v>0</v>
      </c>
      <c r="M354" s="31">
        <f t="shared" si="14"/>
        <v>0</v>
      </c>
      <c r="N354" s="5"/>
    </row>
    <row r="355" spans="1:14" x14ac:dyDescent="0.25">
      <c r="A355" s="38"/>
      <c r="B355" s="20" t="s">
        <v>763</v>
      </c>
      <c r="C355" s="17" t="s">
        <v>674</v>
      </c>
      <c r="D355" s="17" t="s">
        <v>654</v>
      </c>
      <c r="E355" s="18">
        <v>11</v>
      </c>
      <c r="F355" s="18">
        <v>2</v>
      </c>
      <c r="G355" s="17" t="s">
        <v>118</v>
      </c>
      <c r="H355" s="18">
        <v>8</v>
      </c>
      <c r="I355" s="19"/>
      <c r="J355" s="4" t="str">
        <f t="shared" si="15"/>
        <v>JA011</v>
      </c>
      <c r="K355" s="6" t="str">
        <f>IFERROR(VLOOKUP(J355,'Inadimplencia - FEV 2025'!$A$5:$E$85,4,0),"0")</f>
        <v>0</v>
      </c>
      <c r="L355" s="6" t="str">
        <f>IFERROR(VLOOKUP(J355,'Inadimplencia - Out 2025'!$A$5:$E$85,4,0),"0")</f>
        <v>0</v>
      </c>
      <c r="M355" s="31">
        <f t="shared" si="14"/>
        <v>0</v>
      </c>
      <c r="N355" s="5"/>
    </row>
    <row r="356" spans="1:14" x14ac:dyDescent="0.25">
      <c r="A356" s="38"/>
      <c r="B356" s="20" t="s">
        <v>614</v>
      </c>
      <c r="C356" s="21" t="s">
        <v>678</v>
      </c>
      <c r="D356" s="21" t="s">
        <v>654</v>
      </c>
      <c r="E356" s="22">
        <v>13</v>
      </c>
      <c r="F356" s="22">
        <v>2</v>
      </c>
      <c r="G356" s="21" t="s">
        <v>118</v>
      </c>
      <c r="H356" s="22">
        <v>8</v>
      </c>
      <c r="I356" s="19"/>
      <c r="J356" s="4" t="str">
        <f t="shared" si="15"/>
        <v>JA013</v>
      </c>
      <c r="K356" s="6" t="str">
        <f>IFERROR(VLOOKUP(J356,'Inadimplencia - FEV 2025'!$A$5:$E$85,4,0),"0")</f>
        <v>0</v>
      </c>
      <c r="L356" s="6" t="str">
        <f>IFERROR(VLOOKUP(J356,'Inadimplencia - Out 2025'!$A$5:$E$85,4,0),"0")</f>
        <v>0</v>
      </c>
      <c r="M356" s="31">
        <f t="shared" si="14"/>
        <v>0</v>
      </c>
      <c r="N356" s="5"/>
    </row>
    <row r="357" spans="1:14" x14ac:dyDescent="0.25">
      <c r="A357" s="38"/>
      <c r="B357" s="16" t="s">
        <v>765</v>
      </c>
      <c r="C357" s="21" t="s">
        <v>680</v>
      </c>
      <c r="D357" s="21" t="s">
        <v>654</v>
      </c>
      <c r="E357" s="22">
        <v>14</v>
      </c>
      <c r="F357" s="22">
        <v>2</v>
      </c>
      <c r="G357" s="21" t="s">
        <v>118</v>
      </c>
      <c r="H357" s="22">
        <v>8</v>
      </c>
      <c r="I357" s="19"/>
      <c r="J357" s="4" t="str">
        <f t="shared" si="15"/>
        <v>JA014</v>
      </c>
      <c r="K357" s="6" t="str">
        <f>IFERROR(VLOOKUP(J357,'Inadimplencia - FEV 2025'!$A$5:$E$85,4,0),"0")</f>
        <v>0</v>
      </c>
      <c r="L357" s="6" t="str">
        <f>IFERROR(VLOOKUP(J357,'Inadimplencia - Out 2025'!$A$5:$E$85,4,0),"0")</f>
        <v>0</v>
      </c>
      <c r="M357" s="31">
        <f t="shared" si="14"/>
        <v>0</v>
      </c>
      <c r="N357" s="5"/>
    </row>
    <row r="358" spans="1:14" x14ac:dyDescent="0.25">
      <c r="A358" s="38"/>
      <c r="B358" s="20" t="s">
        <v>733</v>
      </c>
      <c r="C358" s="17" t="s">
        <v>682</v>
      </c>
      <c r="D358" s="17" t="s">
        <v>654</v>
      </c>
      <c r="E358" s="18">
        <v>15</v>
      </c>
      <c r="F358" s="18">
        <v>2</v>
      </c>
      <c r="G358" s="17" t="s">
        <v>118</v>
      </c>
      <c r="H358" s="18">
        <v>8</v>
      </c>
      <c r="I358" s="19"/>
      <c r="J358" s="4" t="str">
        <f t="shared" si="15"/>
        <v>JA015</v>
      </c>
      <c r="K358" s="6" t="str">
        <f>IFERROR(VLOOKUP(J358,'Inadimplencia - FEV 2025'!$A$5:$E$85,4,0),"0")</f>
        <v>0</v>
      </c>
      <c r="L358" s="6" t="str">
        <f>IFERROR(VLOOKUP(J358,'Inadimplencia - Out 2025'!$A$5:$E$85,4,0),"0")</f>
        <v>0</v>
      </c>
      <c r="M358" s="31">
        <f t="shared" si="14"/>
        <v>0</v>
      </c>
      <c r="N358" s="5"/>
    </row>
    <row r="359" spans="1:14" x14ac:dyDescent="0.25">
      <c r="A359" s="38"/>
      <c r="B359" s="16" t="s">
        <v>768</v>
      </c>
      <c r="C359" s="21" t="s">
        <v>686</v>
      </c>
      <c r="D359" s="21" t="s">
        <v>654</v>
      </c>
      <c r="E359" s="22">
        <v>17</v>
      </c>
      <c r="F359" s="22">
        <v>2</v>
      </c>
      <c r="G359" s="21" t="s">
        <v>118</v>
      </c>
      <c r="H359" s="22">
        <v>8</v>
      </c>
      <c r="I359" s="19"/>
      <c r="J359" s="4" t="str">
        <f t="shared" si="15"/>
        <v>JA017</v>
      </c>
      <c r="K359" s="6" t="str">
        <f>IFERROR(VLOOKUP(J359,'Inadimplencia - FEV 2025'!$A$5:$E$85,4,0),"0")</f>
        <v>0</v>
      </c>
      <c r="L359" s="6" t="str">
        <f>IFERROR(VLOOKUP(J359,'Inadimplencia - Out 2025'!$A$5:$E$85,4,0),"0")</f>
        <v>0</v>
      </c>
      <c r="M359" s="31">
        <f t="shared" si="14"/>
        <v>0</v>
      </c>
      <c r="N359" s="5"/>
    </row>
    <row r="360" spans="1:14" x14ac:dyDescent="0.25">
      <c r="A360" s="38"/>
      <c r="B360" s="26" t="s">
        <v>770</v>
      </c>
      <c r="C360" s="21" t="s">
        <v>688</v>
      </c>
      <c r="D360" s="21" t="s">
        <v>654</v>
      </c>
      <c r="E360" s="22">
        <v>18</v>
      </c>
      <c r="F360" s="22">
        <v>2</v>
      </c>
      <c r="G360" s="21" t="s">
        <v>118</v>
      </c>
      <c r="H360" s="22">
        <v>8</v>
      </c>
      <c r="I360" s="19"/>
      <c r="J360" s="4" t="str">
        <f t="shared" si="15"/>
        <v>JA018</v>
      </c>
      <c r="K360" s="6" t="str">
        <f>IFERROR(VLOOKUP(J360,'Inadimplencia - FEV 2025'!$A$5:$E$85,4,0),"0")</f>
        <v>0</v>
      </c>
      <c r="L360" s="6" t="str">
        <f>IFERROR(VLOOKUP(J360,'Inadimplencia - Out 2025'!$A$5:$E$85,4,0),"0")</f>
        <v>0</v>
      </c>
      <c r="M360" s="31">
        <f t="shared" si="14"/>
        <v>0</v>
      </c>
      <c r="N360" s="5"/>
    </row>
    <row r="361" spans="1:14" x14ac:dyDescent="0.25">
      <c r="A361" s="38"/>
      <c r="B361" s="16" t="s">
        <v>772</v>
      </c>
      <c r="C361" s="17" t="s">
        <v>690</v>
      </c>
      <c r="D361" s="17" t="s">
        <v>654</v>
      </c>
      <c r="E361" s="18">
        <v>19</v>
      </c>
      <c r="F361" s="18">
        <v>2</v>
      </c>
      <c r="G361" s="17" t="s">
        <v>118</v>
      </c>
      <c r="H361" s="18">
        <v>8</v>
      </c>
      <c r="I361" s="19"/>
      <c r="J361" s="4" t="str">
        <f t="shared" si="15"/>
        <v>JA019</v>
      </c>
      <c r="K361" s="6" t="str">
        <f>IFERROR(VLOOKUP(J361,'Inadimplencia - FEV 2025'!$A$5:$E$85,4,0),"0")</f>
        <v>0</v>
      </c>
      <c r="L361" s="6" t="str">
        <f>IFERROR(VLOOKUP(J361,'Inadimplencia - Out 2025'!$A$5:$E$85,4,0),"0")</f>
        <v>0</v>
      </c>
      <c r="M361" s="31">
        <f t="shared" si="14"/>
        <v>0</v>
      </c>
      <c r="N361" s="5"/>
    </row>
    <row r="362" spans="1:14" x14ac:dyDescent="0.25">
      <c r="A362" s="38"/>
      <c r="B362" s="16" t="s">
        <v>774</v>
      </c>
      <c r="C362" s="17" t="s">
        <v>692</v>
      </c>
      <c r="D362" s="17" t="s">
        <v>654</v>
      </c>
      <c r="E362" s="18">
        <v>20</v>
      </c>
      <c r="F362" s="18">
        <v>2</v>
      </c>
      <c r="G362" s="17" t="s">
        <v>118</v>
      </c>
      <c r="H362" s="18">
        <v>8</v>
      </c>
      <c r="I362" s="19"/>
      <c r="J362" s="4" t="str">
        <f t="shared" si="15"/>
        <v>JA020</v>
      </c>
      <c r="K362" s="6" t="str">
        <f>IFERROR(VLOOKUP(J362,'Inadimplencia - FEV 2025'!$A$5:$E$85,4,0),"0")</f>
        <v>0</v>
      </c>
      <c r="L362" s="6" t="str">
        <f>IFERROR(VLOOKUP(J362,'Inadimplencia - Out 2025'!$A$5:$E$85,4,0),"0")</f>
        <v>0</v>
      </c>
      <c r="M362" s="31">
        <f t="shared" si="14"/>
        <v>0</v>
      </c>
      <c r="N362" s="5"/>
    </row>
    <row r="363" spans="1:14" x14ac:dyDescent="0.25">
      <c r="A363" s="38"/>
      <c r="B363" s="26" t="s">
        <v>776</v>
      </c>
      <c r="C363" s="21" t="s">
        <v>696</v>
      </c>
      <c r="D363" s="21" t="s">
        <v>654</v>
      </c>
      <c r="E363" s="22">
        <v>22</v>
      </c>
      <c r="F363" s="22">
        <v>2</v>
      </c>
      <c r="G363" s="21" t="s">
        <v>118</v>
      </c>
      <c r="H363" s="22">
        <v>8</v>
      </c>
      <c r="I363" s="19"/>
      <c r="J363" s="4" t="str">
        <f t="shared" si="15"/>
        <v>JA022</v>
      </c>
      <c r="K363" s="6" t="str">
        <f>IFERROR(VLOOKUP(J363,'Inadimplencia - FEV 2025'!$A$5:$E$85,4,0),"0")</f>
        <v>0</v>
      </c>
      <c r="L363" s="6" t="str">
        <f>IFERROR(VLOOKUP(J363,'Inadimplencia - Out 2025'!$A$5:$E$85,4,0),"0")</f>
        <v>0</v>
      </c>
      <c r="M363" s="31">
        <f t="shared" si="14"/>
        <v>0</v>
      </c>
      <c r="N363" s="5"/>
    </row>
    <row r="364" spans="1:14" x14ac:dyDescent="0.25">
      <c r="A364" s="38"/>
      <c r="B364" s="16" t="s">
        <v>778</v>
      </c>
      <c r="C364" s="17" t="s">
        <v>698</v>
      </c>
      <c r="D364" s="17" t="s">
        <v>654</v>
      </c>
      <c r="E364" s="18">
        <v>23</v>
      </c>
      <c r="F364" s="18">
        <v>2</v>
      </c>
      <c r="G364" s="17" t="s">
        <v>118</v>
      </c>
      <c r="H364" s="18">
        <v>8</v>
      </c>
      <c r="I364" s="19"/>
      <c r="J364" s="4" t="str">
        <f t="shared" si="15"/>
        <v>JA023</v>
      </c>
      <c r="K364" s="6" t="str">
        <f>IFERROR(VLOOKUP(J364,'Inadimplencia - FEV 2025'!$A$5:$E$85,4,0),"0")</f>
        <v>0</v>
      </c>
      <c r="L364" s="6" t="str">
        <f>IFERROR(VLOOKUP(J364,'Inadimplencia - Out 2025'!$A$5:$E$85,4,0),"0")</f>
        <v>0</v>
      </c>
      <c r="M364" s="31">
        <f t="shared" si="14"/>
        <v>0</v>
      </c>
      <c r="N364" s="5"/>
    </row>
    <row r="365" spans="1:14" ht="25.5" x14ac:dyDescent="0.25">
      <c r="A365" s="38"/>
      <c r="B365" s="16" t="s">
        <v>780</v>
      </c>
      <c r="C365" s="21" t="s">
        <v>700</v>
      </c>
      <c r="D365" s="21" t="s">
        <v>654</v>
      </c>
      <c r="E365" s="22">
        <v>24</v>
      </c>
      <c r="F365" s="22">
        <v>2</v>
      </c>
      <c r="G365" s="21" t="s">
        <v>118</v>
      </c>
      <c r="H365" s="22">
        <v>8</v>
      </c>
      <c r="I365" s="19"/>
      <c r="J365" s="4" t="str">
        <f t="shared" si="15"/>
        <v>JA024</v>
      </c>
      <c r="K365" s="6" t="str">
        <f>IFERROR(VLOOKUP(J365,'Inadimplencia - FEV 2025'!$A$5:$E$85,4,0),"0")</f>
        <v>0</v>
      </c>
      <c r="L365" s="6" t="str">
        <f>IFERROR(VLOOKUP(J365,'Inadimplencia - Out 2025'!$A$5:$E$85,4,0),"0")</f>
        <v>0</v>
      </c>
      <c r="M365" s="31">
        <f t="shared" si="14"/>
        <v>0</v>
      </c>
      <c r="N365" s="5"/>
    </row>
    <row r="366" spans="1:14" x14ac:dyDescent="0.25">
      <c r="A366" s="38"/>
      <c r="B366" s="16" t="s">
        <v>782</v>
      </c>
      <c r="C366" s="17" t="s">
        <v>702</v>
      </c>
      <c r="D366" s="17" t="s">
        <v>654</v>
      </c>
      <c r="E366" s="18">
        <v>25</v>
      </c>
      <c r="F366" s="18">
        <v>3</v>
      </c>
      <c r="G366" s="17" t="s">
        <v>118</v>
      </c>
      <c r="H366" s="18">
        <v>12</v>
      </c>
      <c r="I366" s="19"/>
      <c r="J366" s="4" t="str">
        <f t="shared" si="15"/>
        <v>JA025</v>
      </c>
      <c r="K366" s="6" t="str">
        <f>IFERROR(VLOOKUP(J366,'Inadimplencia - FEV 2025'!$A$5:$E$85,4,0),"0")</f>
        <v>0</v>
      </c>
      <c r="L366" s="6" t="str">
        <f>IFERROR(VLOOKUP(J366,'Inadimplencia - Out 2025'!$A$5:$E$85,4,0),"0")</f>
        <v>0</v>
      </c>
      <c r="M366" s="31">
        <f t="shared" si="14"/>
        <v>0</v>
      </c>
      <c r="N366" s="5"/>
    </row>
    <row r="367" spans="1:14" x14ac:dyDescent="0.25">
      <c r="A367" s="38"/>
      <c r="B367" s="16" t="s">
        <v>784</v>
      </c>
      <c r="C367" s="21" t="s">
        <v>704</v>
      </c>
      <c r="D367" s="21" t="s">
        <v>654</v>
      </c>
      <c r="E367" s="22">
        <v>26</v>
      </c>
      <c r="F367" s="22">
        <v>2</v>
      </c>
      <c r="G367" s="21" t="s">
        <v>118</v>
      </c>
      <c r="H367" s="22">
        <v>8</v>
      </c>
      <c r="I367" s="19"/>
      <c r="J367" s="4" t="str">
        <f t="shared" si="15"/>
        <v>JA026</v>
      </c>
      <c r="K367" s="6" t="str">
        <f>IFERROR(VLOOKUP(J367,'Inadimplencia - FEV 2025'!$A$5:$E$85,4,0),"0")</f>
        <v>0</v>
      </c>
      <c r="L367" s="6" t="str">
        <f>IFERROR(VLOOKUP(J367,'Inadimplencia - Out 2025'!$A$5:$E$85,4,0),"0")</f>
        <v>0</v>
      </c>
      <c r="M367" s="31">
        <f t="shared" si="14"/>
        <v>0</v>
      </c>
      <c r="N367" s="5"/>
    </row>
    <row r="368" spans="1:14" x14ac:dyDescent="0.25">
      <c r="A368" s="38"/>
      <c r="B368" s="26" t="s">
        <v>786</v>
      </c>
      <c r="C368" s="17" t="s">
        <v>706</v>
      </c>
      <c r="D368" s="17" t="s">
        <v>654</v>
      </c>
      <c r="E368" s="18">
        <v>27</v>
      </c>
      <c r="F368" s="18">
        <v>2</v>
      </c>
      <c r="G368" s="17" t="s">
        <v>118</v>
      </c>
      <c r="H368" s="18">
        <v>8</v>
      </c>
      <c r="I368" s="19"/>
      <c r="J368" s="4" t="str">
        <f t="shared" si="15"/>
        <v>JA027</v>
      </c>
      <c r="K368" s="6" t="str">
        <f>IFERROR(VLOOKUP(J368,'Inadimplencia - FEV 2025'!$A$5:$E$85,4,0),"0")</f>
        <v>0</v>
      </c>
      <c r="L368" s="6" t="str">
        <f>IFERROR(VLOOKUP(J368,'Inadimplencia - Out 2025'!$A$5:$E$85,4,0),"0")</f>
        <v>0</v>
      </c>
      <c r="M368" s="31">
        <f t="shared" si="14"/>
        <v>0</v>
      </c>
      <c r="N368" s="5"/>
    </row>
    <row r="369" spans="1:14" x14ac:dyDescent="0.25">
      <c r="A369" s="38"/>
      <c r="B369" s="16" t="s">
        <v>788</v>
      </c>
      <c r="C369" s="21" t="s">
        <v>708</v>
      </c>
      <c r="D369" s="21" t="s">
        <v>654</v>
      </c>
      <c r="E369" s="22">
        <v>28</v>
      </c>
      <c r="F369" s="22">
        <v>2</v>
      </c>
      <c r="G369" s="21" t="s">
        <v>118</v>
      </c>
      <c r="H369" s="22">
        <v>8</v>
      </c>
      <c r="I369" s="19"/>
      <c r="J369" s="4" t="str">
        <f t="shared" si="15"/>
        <v>JA028</v>
      </c>
      <c r="K369" s="6" t="str">
        <f>IFERROR(VLOOKUP(J369,'Inadimplencia - FEV 2025'!$A$5:$E$85,4,0),"0")</f>
        <v>0</v>
      </c>
      <c r="L369" s="6" t="str">
        <f>IFERROR(VLOOKUP(J369,'Inadimplencia - Out 2025'!$A$5:$E$85,4,0),"0")</f>
        <v>0</v>
      </c>
      <c r="M369" s="31">
        <f t="shared" si="14"/>
        <v>0</v>
      </c>
      <c r="N369" s="5"/>
    </row>
    <row r="370" spans="1:14" x14ac:dyDescent="0.25">
      <c r="A370" s="38"/>
      <c r="B370" s="16" t="s">
        <v>790</v>
      </c>
      <c r="C370" s="17" t="s">
        <v>710</v>
      </c>
      <c r="D370" s="17" t="s">
        <v>654</v>
      </c>
      <c r="E370" s="18">
        <v>29</v>
      </c>
      <c r="F370" s="18">
        <v>4</v>
      </c>
      <c r="G370" s="17" t="s">
        <v>118</v>
      </c>
      <c r="H370" s="18">
        <v>16</v>
      </c>
      <c r="I370" s="19"/>
      <c r="J370" s="4" t="str">
        <f t="shared" si="15"/>
        <v>JA029</v>
      </c>
      <c r="K370" s="6" t="str">
        <f>IFERROR(VLOOKUP(J370,'Inadimplencia - FEV 2025'!$A$5:$E$85,4,0),"0")</f>
        <v>0</v>
      </c>
      <c r="L370" s="6" t="str">
        <f>IFERROR(VLOOKUP(J370,'Inadimplencia - Out 2025'!$A$5:$E$85,4,0),"0")</f>
        <v>0</v>
      </c>
      <c r="M370" s="31">
        <f t="shared" si="14"/>
        <v>0</v>
      </c>
      <c r="N370" s="5"/>
    </row>
    <row r="371" spans="1:14" x14ac:dyDescent="0.25">
      <c r="A371" s="38"/>
      <c r="B371" s="26" t="s">
        <v>792</v>
      </c>
      <c r="C371" s="21" t="s">
        <v>716</v>
      </c>
      <c r="D371" s="21" t="s">
        <v>654</v>
      </c>
      <c r="E371" s="22">
        <v>32</v>
      </c>
      <c r="F371" s="22">
        <v>2</v>
      </c>
      <c r="G371" s="21" t="s">
        <v>118</v>
      </c>
      <c r="H371" s="22">
        <v>8</v>
      </c>
      <c r="I371" s="19"/>
      <c r="J371" s="4" t="str">
        <f t="shared" si="15"/>
        <v>JA032</v>
      </c>
      <c r="K371" s="6" t="str">
        <f>IFERROR(VLOOKUP(J371,'Inadimplencia - FEV 2025'!$A$5:$E$85,4,0),"0")</f>
        <v>0</v>
      </c>
      <c r="L371" s="6" t="str">
        <f>IFERROR(VLOOKUP(J371,'Inadimplencia - Out 2025'!$A$5:$E$85,4,0),"0")</f>
        <v>0</v>
      </c>
      <c r="M371" s="31">
        <f t="shared" si="14"/>
        <v>0</v>
      </c>
      <c r="N371" s="5"/>
    </row>
    <row r="372" spans="1:14" x14ac:dyDescent="0.25">
      <c r="A372" s="38"/>
      <c r="B372" s="16" t="s">
        <v>794</v>
      </c>
      <c r="C372" s="17" t="s">
        <v>720</v>
      </c>
      <c r="D372" s="17" t="s">
        <v>654</v>
      </c>
      <c r="E372" s="18">
        <v>34</v>
      </c>
      <c r="F372" s="18">
        <v>2</v>
      </c>
      <c r="G372" s="17" t="s">
        <v>118</v>
      </c>
      <c r="H372" s="18">
        <v>8</v>
      </c>
      <c r="I372" s="19"/>
      <c r="J372" s="4" t="str">
        <f t="shared" si="15"/>
        <v>JA034</v>
      </c>
      <c r="K372" s="6" t="str">
        <f>IFERROR(VLOOKUP(J372,'Inadimplencia - FEV 2025'!$A$5:$E$85,4,0),"0")</f>
        <v>0</v>
      </c>
      <c r="L372" s="6" t="str">
        <f>IFERROR(VLOOKUP(J372,'Inadimplencia - Out 2025'!$A$5:$E$85,4,0),"0")</f>
        <v>0</v>
      </c>
      <c r="M372" s="31">
        <f t="shared" si="14"/>
        <v>0</v>
      </c>
      <c r="N372" s="5"/>
    </row>
    <row r="373" spans="1:14" x14ac:dyDescent="0.25">
      <c r="A373" s="38"/>
      <c r="B373" s="16" t="s">
        <v>796</v>
      </c>
      <c r="C373" s="21" t="s">
        <v>722</v>
      </c>
      <c r="D373" s="21" t="s">
        <v>654</v>
      </c>
      <c r="E373" s="22">
        <v>35</v>
      </c>
      <c r="F373" s="22">
        <v>2</v>
      </c>
      <c r="G373" s="21" t="s">
        <v>118</v>
      </c>
      <c r="H373" s="22">
        <v>8</v>
      </c>
      <c r="I373" s="19"/>
      <c r="J373" s="4" t="str">
        <f t="shared" si="15"/>
        <v>JA035</v>
      </c>
      <c r="K373" s="6" t="str">
        <f>IFERROR(VLOOKUP(J373,'Inadimplencia - FEV 2025'!$A$5:$E$85,4,0),"0")</f>
        <v>0</v>
      </c>
      <c r="L373" s="6" t="str">
        <f>IFERROR(VLOOKUP(J373,'Inadimplencia - Out 2025'!$A$5:$E$85,4,0),"0")</f>
        <v>0</v>
      </c>
      <c r="M373" s="31">
        <f t="shared" si="14"/>
        <v>0</v>
      </c>
      <c r="N373" s="5"/>
    </row>
    <row r="374" spans="1:14" ht="25.5" x14ac:dyDescent="0.25">
      <c r="A374" s="38"/>
      <c r="B374" s="16" t="s">
        <v>798</v>
      </c>
      <c r="C374" s="21" t="s">
        <v>724</v>
      </c>
      <c r="D374" s="21" t="s">
        <v>654</v>
      </c>
      <c r="E374" s="22">
        <v>36</v>
      </c>
      <c r="F374" s="22">
        <v>2</v>
      </c>
      <c r="G374" s="21" t="s">
        <v>118</v>
      </c>
      <c r="H374" s="22">
        <v>8</v>
      </c>
      <c r="I374" s="19"/>
      <c r="J374" s="4" t="str">
        <f t="shared" si="15"/>
        <v>JA036</v>
      </c>
      <c r="K374" s="6" t="str">
        <f>IFERROR(VLOOKUP(J374,'Inadimplencia - FEV 2025'!$A$5:$E$85,4,0),"0")</f>
        <v>0</v>
      </c>
      <c r="L374" s="6" t="str">
        <f>IFERROR(VLOOKUP(J374,'Inadimplencia - Out 2025'!$A$5:$E$85,4,0),"0")</f>
        <v>0</v>
      </c>
      <c r="M374" s="31">
        <f t="shared" si="14"/>
        <v>0</v>
      </c>
      <c r="N374" s="5"/>
    </row>
    <row r="375" spans="1:14" x14ac:dyDescent="0.25">
      <c r="A375" s="38"/>
      <c r="B375" s="26" t="s">
        <v>532</v>
      </c>
      <c r="C375" s="21" t="s">
        <v>726</v>
      </c>
      <c r="D375" s="21" t="s">
        <v>654</v>
      </c>
      <c r="E375" s="22">
        <v>37</v>
      </c>
      <c r="F375" s="22">
        <v>2</v>
      </c>
      <c r="G375" s="21" t="s">
        <v>118</v>
      </c>
      <c r="H375" s="22">
        <v>8</v>
      </c>
      <c r="I375" s="19"/>
      <c r="J375" s="4" t="str">
        <f t="shared" si="15"/>
        <v>JA037</v>
      </c>
      <c r="K375" s="6" t="str">
        <f>IFERROR(VLOOKUP(J375,'Inadimplencia - FEV 2025'!$A$5:$E$85,4,0),"0")</f>
        <v>0</v>
      </c>
      <c r="L375" s="6" t="str">
        <f>IFERROR(VLOOKUP(J375,'Inadimplencia - Out 2025'!$A$5:$E$85,4,0),"0")</f>
        <v>0</v>
      </c>
      <c r="M375" s="31">
        <f t="shared" si="14"/>
        <v>0</v>
      </c>
      <c r="N375" s="5"/>
    </row>
    <row r="376" spans="1:14" x14ac:dyDescent="0.25">
      <c r="A376" s="38"/>
      <c r="B376" s="26" t="s">
        <v>800</v>
      </c>
      <c r="C376" s="17" t="s">
        <v>728</v>
      </c>
      <c r="D376" s="17" t="s">
        <v>654</v>
      </c>
      <c r="E376" s="18">
        <v>38</v>
      </c>
      <c r="F376" s="18">
        <v>2</v>
      </c>
      <c r="G376" s="17" t="s">
        <v>118</v>
      </c>
      <c r="H376" s="18">
        <v>8</v>
      </c>
      <c r="I376" s="19"/>
      <c r="J376" s="4" t="str">
        <f t="shared" si="15"/>
        <v>JA038</v>
      </c>
      <c r="K376" s="6" t="str">
        <f>IFERROR(VLOOKUP(J376,'Inadimplencia - FEV 2025'!$A$5:$E$85,4,0),"0")</f>
        <v>0</v>
      </c>
      <c r="L376" s="6" t="str">
        <f>IFERROR(VLOOKUP(J376,'Inadimplencia - Out 2025'!$A$5:$E$85,4,0),"0")</f>
        <v>0</v>
      </c>
      <c r="M376" s="31">
        <f t="shared" si="14"/>
        <v>0</v>
      </c>
      <c r="N376" s="5"/>
    </row>
    <row r="377" spans="1:14" x14ac:dyDescent="0.25">
      <c r="A377" s="38"/>
      <c r="B377" s="16" t="s">
        <v>802</v>
      </c>
      <c r="C377" s="21" t="s">
        <v>730</v>
      </c>
      <c r="D377" s="21" t="s">
        <v>654</v>
      </c>
      <c r="E377" s="22">
        <v>39</v>
      </c>
      <c r="F377" s="22">
        <v>2</v>
      </c>
      <c r="G377" s="21" t="s">
        <v>118</v>
      </c>
      <c r="H377" s="22">
        <v>8</v>
      </c>
      <c r="I377" s="19"/>
      <c r="J377" s="4" t="str">
        <f t="shared" si="15"/>
        <v>JA039</v>
      </c>
      <c r="K377" s="6" t="str">
        <f>IFERROR(VLOOKUP(J377,'Inadimplencia - FEV 2025'!$A$5:$E$85,4,0),"0")</f>
        <v>0</v>
      </c>
      <c r="L377" s="6" t="str">
        <f>IFERROR(VLOOKUP(J377,'Inadimplencia - Out 2025'!$A$5:$E$85,4,0),"0")</f>
        <v>0</v>
      </c>
      <c r="M377" s="31">
        <f t="shared" si="14"/>
        <v>0</v>
      </c>
      <c r="N377" s="5"/>
    </row>
    <row r="378" spans="1:14" x14ac:dyDescent="0.25">
      <c r="A378" s="38"/>
      <c r="B378" s="16" t="s">
        <v>804</v>
      </c>
      <c r="C378" s="17" t="s">
        <v>732</v>
      </c>
      <c r="D378" s="17" t="s">
        <v>654</v>
      </c>
      <c r="E378" s="18">
        <v>40</v>
      </c>
      <c r="F378" s="18">
        <v>2</v>
      </c>
      <c r="G378" s="17" t="s">
        <v>118</v>
      </c>
      <c r="H378" s="18">
        <v>8</v>
      </c>
      <c r="I378" s="19"/>
      <c r="J378" s="4" t="str">
        <f t="shared" si="15"/>
        <v>JA040</v>
      </c>
      <c r="K378" s="6" t="str">
        <f>IFERROR(VLOOKUP(J378,'Inadimplencia - FEV 2025'!$A$5:$E$85,4,0),"0")</f>
        <v>0</v>
      </c>
      <c r="L378" s="6" t="str">
        <f>IFERROR(VLOOKUP(J378,'Inadimplencia - Out 2025'!$A$5:$E$85,4,0),"0")</f>
        <v>0</v>
      </c>
      <c r="M378" s="31">
        <f t="shared" si="14"/>
        <v>0</v>
      </c>
      <c r="N378" s="5"/>
    </row>
    <row r="379" spans="1:14" x14ac:dyDescent="0.25">
      <c r="A379" s="38"/>
      <c r="B379" s="16" t="s">
        <v>532</v>
      </c>
      <c r="C379" s="21" t="s">
        <v>734</v>
      </c>
      <c r="D379" s="21" t="s">
        <v>654</v>
      </c>
      <c r="E379" s="22">
        <v>41</v>
      </c>
      <c r="F379" s="22">
        <v>2</v>
      </c>
      <c r="G379" s="21" t="s">
        <v>118</v>
      </c>
      <c r="H379" s="22">
        <v>8</v>
      </c>
      <c r="I379" s="19"/>
      <c r="J379" s="4" t="str">
        <f t="shared" si="15"/>
        <v>JA041</v>
      </c>
      <c r="K379" s="6" t="str">
        <f>IFERROR(VLOOKUP(J379,'Inadimplencia - FEV 2025'!$A$5:$E$85,4,0),"0")</f>
        <v>0</v>
      </c>
      <c r="L379" s="6" t="str">
        <f>IFERROR(VLOOKUP(J379,'Inadimplencia - Out 2025'!$A$5:$E$85,4,0),"0")</f>
        <v>0</v>
      </c>
      <c r="M379" s="31">
        <f t="shared" si="14"/>
        <v>0</v>
      </c>
      <c r="N379" s="5"/>
    </row>
    <row r="380" spans="1:14" x14ac:dyDescent="0.25">
      <c r="A380" s="38"/>
      <c r="B380" s="16" t="s">
        <v>806</v>
      </c>
      <c r="C380" s="17" t="s">
        <v>736</v>
      </c>
      <c r="D380" s="17" t="s">
        <v>654</v>
      </c>
      <c r="E380" s="18">
        <v>42</v>
      </c>
      <c r="F380" s="18">
        <v>2</v>
      </c>
      <c r="G380" s="17" t="s">
        <v>118</v>
      </c>
      <c r="H380" s="18">
        <v>8</v>
      </c>
      <c r="I380" s="19"/>
      <c r="J380" s="4" t="str">
        <f t="shared" si="15"/>
        <v>JA042</v>
      </c>
      <c r="K380" s="6" t="str">
        <f>IFERROR(VLOOKUP(J380,'Inadimplencia - FEV 2025'!$A$5:$E$85,4,0),"0")</f>
        <v>0</v>
      </c>
      <c r="L380" s="6" t="str">
        <f>IFERROR(VLOOKUP(J380,'Inadimplencia - Out 2025'!$A$5:$E$85,4,0),"0")</f>
        <v>0</v>
      </c>
      <c r="M380" s="31">
        <f t="shared" si="14"/>
        <v>0</v>
      </c>
      <c r="N380" s="5"/>
    </row>
    <row r="381" spans="1:14" x14ac:dyDescent="0.25">
      <c r="A381" s="38"/>
      <c r="B381" s="26" t="s">
        <v>808</v>
      </c>
      <c r="C381" s="17" t="s">
        <v>738</v>
      </c>
      <c r="D381" s="17" t="s">
        <v>654</v>
      </c>
      <c r="E381" s="18">
        <v>43</v>
      </c>
      <c r="F381" s="18">
        <v>2</v>
      </c>
      <c r="G381" s="17" t="s">
        <v>118</v>
      </c>
      <c r="H381" s="18">
        <v>8</v>
      </c>
      <c r="I381" s="19"/>
      <c r="J381" s="4" t="str">
        <f t="shared" si="15"/>
        <v>JA043</v>
      </c>
      <c r="K381" s="6" t="str">
        <f>IFERROR(VLOOKUP(J381,'Inadimplencia - FEV 2025'!$A$5:$E$85,4,0),"0")</f>
        <v>0</v>
      </c>
      <c r="L381" s="6" t="str">
        <f>IFERROR(VLOOKUP(J381,'Inadimplencia - Out 2025'!$A$5:$E$85,4,0),"0")</f>
        <v>0</v>
      </c>
      <c r="M381" s="31">
        <f t="shared" si="14"/>
        <v>0</v>
      </c>
      <c r="N381" s="5"/>
    </row>
    <row r="382" spans="1:14" x14ac:dyDescent="0.25">
      <c r="A382" s="38"/>
      <c r="B382" s="26" t="s">
        <v>810</v>
      </c>
      <c r="C382" s="17" t="s">
        <v>742</v>
      </c>
      <c r="D382" s="17" t="s">
        <v>654</v>
      </c>
      <c r="E382" s="18">
        <v>45</v>
      </c>
      <c r="F382" s="18">
        <v>2</v>
      </c>
      <c r="G382" s="17" t="s">
        <v>118</v>
      </c>
      <c r="H382" s="18">
        <v>8</v>
      </c>
      <c r="I382" s="19"/>
      <c r="J382" s="4" t="str">
        <f t="shared" si="15"/>
        <v>JA045</v>
      </c>
      <c r="K382" s="6" t="str">
        <f>IFERROR(VLOOKUP(J382,'Inadimplencia - FEV 2025'!$A$5:$E$85,4,0),"0")</f>
        <v>0</v>
      </c>
      <c r="L382" s="6" t="str">
        <f>IFERROR(VLOOKUP(J382,'Inadimplencia - Out 2025'!$A$5:$E$85,4,0),"0")</f>
        <v>0</v>
      </c>
      <c r="M382" s="31">
        <f t="shared" si="14"/>
        <v>0</v>
      </c>
      <c r="N382" s="5"/>
    </row>
    <row r="383" spans="1:14" x14ac:dyDescent="0.25">
      <c r="A383" s="38"/>
      <c r="B383" s="26" t="s">
        <v>812</v>
      </c>
      <c r="C383" s="21" t="s">
        <v>744</v>
      </c>
      <c r="D383" s="21" t="s">
        <v>654</v>
      </c>
      <c r="E383" s="22">
        <v>46</v>
      </c>
      <c r="F383" s="22">
        <v>2</v>
      </c>
      <c r="G383" s="21" t="s">
        <v>118</v>
      </c>
      <c r="H383" s="22">
        <v>8</v>
      </c>
      <c r="I383" s="19"/>
      <c r="J383" s="4" t="str">
        <f t="shared" si="15"/>
        <v>JA046</v>
      </c>
      <c r="K383" s="6" t="str">
        <f>IFERROR(VLOOKUP(J383,'Inadimplencia - FEV 2025'!$A$5:$E$85,4,0),"0")</f>
        <v>0</v>
      </c>
      <c r="L383" s="6" t="str">
        <f>IFERROR(VLOOKUP(J383,'Inadimplencia - Out 2025'!$A$5:$E$85,4,0),"0")</f>
        <v>0</v>
      </c>
      <c r="M383" s="31">
        <f t="shared" si="14"/>
        <v>0</v>
      </c>
      <c r="N383" s="5"/>
    </row>
    <row r="384" spans="1:14" x14ac:dyDescent="0.25">
      <c r="A384" s="38"/>
      <c r="B384" s="16" t="s">
        <v>814</v>
      </c>
      <c r="C384" s="21" t="s">
        <v>746</v>
      </c>
      <c r="D384" s="21" t="s">
        <v>654</v>
      </c>
      <c r="E384" s="22">
        <v>47</v>
      </c>
      <c r="F384" s="22">
        <v>2</v>
      </c>
      <c r="G384" s="21" t="s">
        <v>118</v>
      </c>
      <c r="H384" s="22">
        <v>8</v>
      </c>
      <c r="I384" s="19"/>
      <c r="J384" s="4" t="str">
        <f t="shared" si="15"/>
        <v>JA047</v>
      </c>
      <c r="K384" s="6" t="str">
        <f>IFERROR(VLOOKUP(J384,'Inadimplencia - FEV 2025'!$A$5:$E$85,4,0),"0")</f>
        <v>0</v>
      </c>
      <c r="L384" s="6" t="str">
        <f>IFERROR(VLOOKUP(J384,'Inadimplencia - Out 2025'!$A$5:$E$85,4,0),"0")</f>
        <v>0</v>
      </c>
      <c r="M384" s="31">
        <f t="shared" si="14"/>
        <v>0</v>
      </c>
      <c r="N384" s="5"/>
    </row>
    <row r="385" spans="1:14" x14ac:dyDescent="0.25">
      <c r="A385" s="38"/>
      <c r="B385" s="16" t="s">
        <v>816</v>
      </c>
      <c r="C385" s="17" t="s">
        <v>748</v>
      </c>
      <c r="D385" s="17" t="s">
        <v>654</v>
      </c>
      <c r="E385" s="18">
        <v>48</v>
      </c>
      <c r="F385" s="18">
        <v>2</v>
      </c>
      <c r="G385" s="17" t="s">
        <v>118</v>
      </c>
      <c r="H385" s="18">
        <v>8</v>
      </c>
      <c r="I385" s="19"/>
      <c r="J385" s="4" t="str">
        <f t="shared" si="15"/>
        <v>JA048</v>
      </c>
      <c r="K385" s="6" t="str">
        <f>IFERROR(VLOOKUP(J385,'Inadimplencia - FEV 2025'!$A$5:$E$85,4,0),"0")</f>
        <v>0</v>
      </c>
      <c r="L385" s="6" t="str">
        <f>IFERROR(VLOOKUP(J385,'Inadimplencia - Out 2025'!$A$5:$E$85,4,0),"0")</f>
        <v>0</v>
      </c>
      <c r="M385" s="31">
        <f t="shared" si="14"/>
        <v>0</v>
      </c>
      <c r="N385" s="5"/>
    </row>
    <row r="386" spans="1:14" x14ac:dyDescent="0.25">
      <c r="A386" s="38"/>
      <c r="B386" s="26" t="s">
        <v>818</v>
      </c>
      <c r="C386" s="17" t="s">
        <v>750</v>
      </c>
      <c r="D386" s="17" t="s">
        <v>654</v>
      </c>
      <c r="E386" s="18">
        <v>49</v>
      </c>
      <c r="F386" s="18">
        <v>2</v>
      </c>
      <c r="G386" s="17" t="s">
        <v>118</v>
      </c>
      <c r="H386" s="18">
        <v>8</v>
      </c>
      <c r="I386" s="19"/>
      <c r="J386" s="4" t="str">
        <f t="shared" si="15"/>
        <v>JA049</v>
      </c>
      <c r="K386" s="6" t="str">
        <f>IFERROR(VLOOKUP(J386,'Inadimplencia - FEV 2025'!$A$5:$E$85,4,0),"0")</f>
        <v>0</v>
      </c>
      <c r="L386" s="6" t="str">
        <f>IFERROR(VLOOKUP(J386,'Inadimplencia - Out 2025'!$A$5:$E$85,4,0),"0")</f>
        <v>0</v>
      </c>
      <c r="M386" s="31">
        <f t="shared" si="14"/>
        <v>0</v>
      </c>
      <c r="N386" s="5"/>
    </row>
    <row r="387" spans="1:14" x14ac:dyDescent="0.25">
      <c r="A387" s="38"/>
      <c r="B387" s="16" t="s">
        <v>820</v>
      </c>
      <c r="C387" s="17" t="s">
        <v>752</v>
      </c>
      <c r="D387" s="17" t="s">
        <v>654</v>
      </c>
      <c r="E387" s="18">
        <v>50</v>
      </c>
      <c r="F387" s="18">
        <v>2</v>
      </c>
      <c r="G387" s="17" t="s">
        <v>118</v>
      </c>
      <c r="H387" s="18">
        <v>8</v>
      </c>
      <c r="I387" s="19"/>
      <c r="J387" s="4" t="str">
        <f t="shared" si="15"/>
        <v>JA050</v>
      </c>
      <c r="K387" s="6" t="str">
        <f>IFERROR(VLOOKUP(J387,'Inadimplencia - FEV 2025'!$A$5:$E$85,4,0),"0")</f>
        <v>0</v>
      </c>
      <c r="L387" s="6" t="str">
        <f>IFERROR(VLOOKUP(J387,'Inadimplencia - Out 2025'!$A$5:$E$85,4,0),"0")</f>
        <v>0</v>
      </c>
      <c r="M387" s="31">
        <f t="shared" si="14"/>
        <v>0</v>
      </c>
      <c r="N387" s="5"/>
    </row>
    <row r="388" spans="1:14" x14ac:dyDescent="0.25">
      <c r="A388" s="38"/>
      <c r="B388" s="16" t="s">
        <v>822</v>
      </c>
      <c r="C388" s="17" t="s">
        <v>754</v>
      </c>
      <c r="D388" s="17" t="s">
        <v>654</v>
      </c>
      <c r="E388" s="18">
        <v>51</v>
      </c>
      <c r="F388" s="18">
        <v>2</v>
      </c>
      <c r="G388" s="17" t="s">
        <v>118</v>
      </c>
      <c r="H388" s="18">
        <v>8</v>
      </c>
      <c r="I388" s="19"/>
      <c r="J388" s="4" t="str">
        <f t="shared" si="15"/>
        <v>JA051</v>
      </c>
      <c r="K388" s="6" t="str">
        <f>IFERROR(VLOOKUP(J388,'Inadimplencia - FEV 2025'!$A$5:$E$85,4,0),"0")</f>
        <v>0</v>
      </c>
      <c r="L388" s="6" t="str">
        <f>IFERROR(VLOOKUP(J388,'Inadimplencia - Out 2025'!$A$5:$E$85,4,0),"0")</f>
        <v>0</v>
      </c>
      <c r="M388" s="31">
        <f t="shared" si="14"/>
        <v>0</v>
      </c>
      <c r="N388" s="5"/>
    </row>
    <row r="389" spans="1:14" x14ac:dyDescent="0.25">
      <c r="A389" s="38"/>
      <c r="B389" s="16" t="s">
        <v>824</v>
      </c>
      <c r="C389" s="21" t="s">
        <v>760</v>
      </c>
      <c r="D389" s="21" t="s">
        <v>654</v>
      </c>
      <c r="E389" s="22">
        <v>54</v>
      </c>
      <c r="F389" s="22">
        <v>2</v>
      </c>
      <c r="G389" s="21" t="s">
        <v>118</v>
      </c>
      <c r="H389" s="22">
        <v>8</v>
      </c>
      <c r="I389" s="19"/>
      <c r="J389" s="4" t="str">
        <f t="shared" si="15"/>
        <v>JA054</v>
      </c>
      <c r="K389" s="6" t="str">
        <f>IFERROR(VLOOKUP(J389,'Inadimplencia - FEV 2025'!$A$5:$E$85,4,0),"0")</f>
        <v>0</v>
      </c>
      <c r="L389" s="6" t="str">
        <f>IFERROR(VLOOKUP(J389,'Inadimplencia - Out 2025'!$A$5:$E$85,4,0),"0")</f>
        <v>0</v>
      </c>
      <c r="M389" s="31">
        <f t="shared" si="14"/>
        <v>0</v>
      </c>
      <c r="N389" s="5"/>
    </row>
    <row r="390" spans="1:14" x14ac:dyDescent="0.25">
      <c r="A390" s="38"/>
      <c r="B390" s="16" t="s">
        <v>826</v>
      </c>
      <c r="C390" s="21" t="s">
        <v>762</v>
      </c>
      <c r="D390" s="21" t="s">
        <v>654</v>
      </c>
      <c r="E390" s="22">
        <v>55</v>
      </c>
      <c r="F390" s="22">
        <v>2</v>
      </c>
      <c r="G390" s="21" t="s">
        <v>118</v>
      </c>
      <c r="H390" s="22">
        <v>8</v>
      </c>
      <c r="I390" s="19"/>
      <c r="J390" s="4" t="str">
        <f t="shared" si="15"/>
        <v>JA055</v>
      </c>
      <c r="K390" s="6" t="str">
        <f>IFERROR(VLOOKUP(J390,'Inadimplencia - FEV 2025'!$A$5:$E$85,4,0),"0")</f>
        <v>0</v>
      </c>
      <c r="L390" s="6" t="str">
        <f>IFERROR(VLOOKUP(J390,'Inadimplencia - Out 2025'!$A$5:$E$85,4,0),"0")</f>
        <v>0</v>
      </c>
      <c r="M390" s="31">
        <f t="shared" si="14"/>
        <v>0</v>
      </c>
      <c r="N390" s="5"/>
    </row>
    <row r="391" spans="1:14" x14ac:dyDescent="0.25">
      <c r="A391" s="38"/>
      <c r="B391" s="16" t="s">
        <v>828</v>
      </c>
      <c r="C391" s="21" t="s">
        <v>764</v>
      </c>
      <c r="D391" s="21" t="s">
        <v>654</v>
      </c>
      <c r="E391" s="22">
        <v>56</v>
      </c>
      <c r="F391" s="22">
        <v>2</v>
      </c>
      <c r="G391" s="21" t="s">
        <v>118</v>
      </c>
      <c r="H391" s="22">
        <v>8</v>
      </c>
      <c r="I391" s="19"/>
      <c r="J391" s="4" t="str">
        <f t="shared" si="15"/>
        <v>JA056</v>
      </c>
      <c r="K391" s="6" t="str">
        <f>IFERROR(VLOOKUP(J391,'Inadimplencia - FEV 2025'!$A$5:$E$85,4,0),"0")</f>
        <v>0</v>
      </c>
      <c r="L391" s="6" t="str">
        <f>IFERROR(VLOOKUP(J391,'Inadimplencia - Out 2025'!$A$5:$E$85,4,0),"0")</f>
        <v>0</v>
      </c>
      <c r="M391" s="31">
        <f t="shared" ref="M391:M454" si="16">L391-K391</f>
        <v>0</v>
      </c>
      <c r="N391" s="5"/>
    </row>
    <row r="392" spans="1:14" ht="25.5" x14ac:dyDescent="0.25">
      <c r="A392" s="38"/>
      <c r="B392" s="26" t="s">
        <v>830</v>
      </c>
      <c r="C392" s="21" t="s">
        <v>615</v>
      </c>
      <c r="D392" s="21" t="s">
        <v>654</v>
      </c>
      <c r="E392" s="22">
        <v>57</v>
      </c>
      <c r="F392" s="22">
        <v>2</v>
      </c>
      <c r="G392" s="21" t="s">
        <v>133</v>
      </c>
      <c r="H392" s="22">
        <v>8</v>
      </c>
      <c r="I392" s="19"/>
      <c r="J392" s="4" t="str">
        <f t="shared" si="15"/>
        <v>JA057</v>
      </c>
      <c r="K392" s="6" t="str">
        <f>IFERROR(VLOOKUP(J392,'Inadimplencia - FEV 2025'!$A$5:$E$85,4,0),"0")</f>
        <v>0</v>
      </c>
      <c r="L392" s="6" t="str">
        <f>IFERROR(VLOOKUP(J392,'Inadimplencia - Out 2025'!$A$5:$E$85,4,0),"0")</f>
        <v>0</v>
      </c>
      <c r="M392" s="31">
        <f t="shared" si="16"/>
        <v>0</v>
      </c>
      <c r="N392" s="5"/>
    </row>
    <row r="393" spans="1:14" x14ac:dyDescent="0.25">
      <c r="A393" s="38"/>
      <c r="B393" s="16" t="s">
        <v>832</v>
      </c>
      <c r="C393" s="17" t="s">
        <v>766</v>
      </c>
      <c r="D393" s="17" t="s">
        <v>654</v>
      </c>
      <c r="E393" s="18">
        <v>58</v>
      </c>
      <c r="F393" s="18">
        <v>2</v>
      </c>
      <c r="G393" s="17" t="s">
        <v>118</v>
      </c>
      <c r="H393" s="18">
        <v>8</v>
      </c>
      <c r="I393" s="19"/>
      <c r="J393" s="4" t="str">
        <f t="shared" si="15"/>
        <v>JA058</v>
      </c>
      <c r="K393" s="6" t="str">
        <f>IFERROR(VLOOKUP(J393,'Inadimplencia - FEV 2025'!$A$5:$E$85,4,0),"0")</f>
        <v>0</v>
      </c>
      <c r="L393" s="6" t="str">
        <f>IFERROR(VLOOKUP(J393,'Inadimplencia - Out 2025'!$A$5:$E$85,4,0),"0")</f>
        <v>0</v>
      </c>
      <c r="M393" s="31">
        <f t="shared" si="16"/>
        <v>0</v>
      </c>
      <c r="N393" s="5"/>
    </row>
    <row r="394" spans="1:14" x14ac:dyDescent="0.25">
      <c r="A394" s="38"/>
      <c r="B394" s="16" t="s">
        <v>834</v>
      </c>
      <c r="C394" s="21" t="s">
        <v>734</v>
      </c>
      <c r="D394" s="17" t="s">
        <v>767</v>
      </c>
      <c r="E394" s="22">
        <v>1</v>
      </c>
      <c r="F394" s="22">
        <v>2</v>
      </c>
      <c r="G394" s="21" t="s">
        <v>118</v>
      </c>
      <c r="H394" s="22">
        <v>8</v>
      </c>
      <c r="I394" s="19"/>
      <c r="J394" s="4" t="str">
        <f t="shared" ref="J394:J425" si="17">"OR" &amp; TEXT(E394, "000")</f>
        <v>OR001</v>
      </c>
      <c r="K394" s="6" t="str">
        <f>IFERROR(VLOOKUP(J394,'Inadimplencia - FEV 2025'!$A$5:$E$85,4,0),"0")</f>
        <v>0</v>
      </c>
      <c r="L394" s="6" t="str">
        <f>IFERROR(VLOOKUP(J394,'Inadimplencia - Out 2025'!$A$5:$E$85,4,0),"0")</f>
        <v>0</v>
      </c>
      <c r="M394" s="31">
        <f t="shared" si="16"/>
        <v>0</v>
      </c>
      <c r="N394" s="5"/>
    </row>
    <row r="395" spans="1:14" x14ac:dyDescent="0.25">
      <c r="A395" s="38"/>
      <c r="B395" s="26" t="s">
        <v>836</v>
      </c>
      <c r="C395" s="17" t="s">
        <v>769</v>
      </c>
      <c r="D395" s="17" t="s">
        <v>767</v>
      </c>
      <c r="E395" s="18">
        <v>2</v>
      </c>
      <c r="F395" s="18">
        <v>2</v>
      </c>
      <c r="G395" s="17" t="s">
        <v>118</v>
      </c>
      <c r="H395" s="18">
        <v>8</v>
      </c>
      <c r="I395" s="19"/>
      <c r="J395" s="4" t="str">
        <f t="shared" si="17"/>
        <v>OR002</v>
      </c>
      <c r="K395" s="6" t="str">
        <f>IFERROR(VLOOKUP(J395,'Inadimplencia - FEV 2025'!$A$5:$E$85,4,0),"0")</f>
        <v>0</v>
      </c>
      <c r="L395" s="6" t="str">
        <f>IFERROR(VLOOKUP(J395,'Inadimplencia - Out 2025'!$A$5:$E$85,4,0),"0")</f>
        <v>0</v>
      </c>
      <c r="M395" s="31">
        <f t="shared" si="16"/>
        <v>0</v>
      </c>
      <c r="N395" s="5"/>
    </row>
    <row r="396" spans="1:14" x14ac:dyDescent="0.25">
      <c r="A396" s="38"/>
      <c r="B396" s="16" t="s">
        <v>838</v>
      </c>
      <c r="C396" s="27" t="s">
        <v>771</v>
      </c>
      <c r="D396" s="27" t="s">
        <v>767</v>
      </c>
      <c r="E396" s="28">
        <v>3</v>
      </c>
      <c r="F396" s="28">
        <v>2</v>
      </c>
      <c r="G396" s="27" t="s">
        <v>118</v>
      </c>
      <c r="H396" s="28">
        <v>8</v>
      </c>
      <c r="I396" s="19"/>
      <c r="J396" s="4" t="str">
        <f t="shared" si="17"/>
        <v>OR003</v>
      </c>
      <c r="K396" s="6" t="str">
        <f>IFERROR(VLOOKUP(J396,'Inadimplencia - FEV 2025'!$A$5:$E$85,4,0),"0")</f>
        <v>0</v>
      </c>
      <c r="L396" s="6" t="str">
        <f>IFERROR(VLOOKUP(J396,'Inadimplencia - Out 2025'!$A$5:$E$85,4,0),"0")</f>
        <v>0</v>
      </c>
      <c r="M396" s="31">
        <f t="shared" si="16"/>
        <v>0</v>
      </c>
      <c r="N396" s="5"/>
    </row>
    <row r="397" spans="1:14" x14ac:dyDescent="0.25">
      <c r="A397" s="38"/>
      <c r="B397" s="26" t="s">
        <v>532</v>
      </c>
      <c r="C397" s="17" t="s">
        <v>773</v>
      </c>
      <c r="D397" s="17" t="s">
        <v>767</v>
      </c>
      <c r="E397" s="18">
        <v>4</v>
      </c>
      <c r="F397" s="18">
        <v>2</v>
      </c>
      <c r="G397" s="17" t="s">
        <v>118</v>
      </c>
      <c r="H397" s="18">
        <v>8</v>
      </c>
      <c r="I397" s="19"/>
      <c r="J397" s="4" t="str">
        <f t="shared" si="17"/>
        <v>OR004</v>
      </c>
      <c r="K397" s="6" t="str">
        <f>IFERROR(VLOOKUP(J397,'Inadimplencia - FEV 2025'!$A$5:$E$85,4,0),"0")</f>
        <v>0</v>
      </c>
      <c r="L397" s="6" t="str">
        <f>IFERROR(VLOOKUP(J397,'Inadimplencia - Out 2025'!$A$5:$E$85,4,0),"0")</f>
        <v>0</v>
      </c>
      <c r="M397" s="31">
        <f t="shared" si="16"/>
        <v>0</v>
      </c>
      <c r="N397" s="5"/>
    </row>
    <row r="398" spans="1:14" x14ac:dyDescent="0.25">
      <c r="A398" s="38"/>
      <c r="B398" s="26" t="s">
        <v>840</v>
      </c>
      <c r="C398" s="17" t="s">
        <v>775</v>
      </c>
      <c r="D398" s="17" t="s">
        <v>767</v>
      </c>
      <c r="E398" s="18">
        <v>5</v>
      </c>
      <c r="F398" s="18">
        <v>2</v>
      </c>
      <c r="G398" s="17" t="s">
        <v>118</v>
      </c>
      <c r="H398" s="18">
        <v>8</v>
      </c>
      <c r="I398" s="19"/>
      <c r="J398" s="4" t="str">
        <f t="shared" si="17"/>
        <v>OR005</v>
      </c>
      <c r="K398" s="6" t="str">
        <f>IFERROR(VLOOKUP(J398,'Inadimplencia - FEV 2025'!$A$5:$E$85,4,0),"0")</f>
        <v>0</v>
      </c>
      <c r="L398" s="6" t="str">
        <f>IFERROR(VLOOKUP(J398,'Inadimplencia - Out 2025'!$A$5:$E$85,4,0),"0")</f>
        <v>0</v>
      </c>
      <c r="M398" s="31">
        <f t="shared" si="16"/>
        <v>0</v>
      </c>
      <c r="N398" s="5"/>
    </row>
    <row r="399" spans="1:14" x14ac:dyDescent="0.25">
      <c r="A399" s="38"/>
      <c r="B399" s="16" t="s">
        <v>842</v>
      </c>
      <c r="C399" s="17" t="s">
        <v>779</v>
      </c>
      <c r="D399" s="17" t="s">
        <v>767</v>
      </c>
      <c r="E399" s="18">
        <v>7</v>
      </c>
      <c r="F399" s="18">
        <v>2</v>
      </c>
      <c r="G399" s="17" t="s">
        <v>118</v>
      </c>
      <c r="H399" s="18">
        <v>8</v>
      </c>
      <c r="I399" s="19"/>
      <c r="J399" s="4" t="str">
        <f t="shared" si="17"/>
        <v>OR007</v>
      </c>
      <c r="K399" s="6" t="str">
        <f>IFERROR(VLOOKUP(J399,'Inadimplencia - FEV 2025'!$A$5:$E$85,4,0),"0")</f>
        <v>0</v>
      </c>
      <c r="L399" s="6" t="str">
        <f>IFERROR(VLOOKUP(J399,'Inadimplencia - Out 2025'!$A$5:$E$85,4,0),"0")</f>
        <v>0</v>
      </c>
      <c r="M399" s="31">
        <f t="shared" si="16"/>
        <v>0</v>
      </c>
      <c r="N399" s="5"/>
    </row>
    <row r="400" spans="1:14" x14ac:dyDescent="0.25">
      <c r="A400" s="38"/>
      <c r="B400" s="26" t="s">
        <v>844</v>
      </c>
      <c r="C400" s="17" t="s">
        <v>781</v>
      </c>
      <c r="D400" s="17" t="s">
        <v>767</v>
      </c>
      <c r="E400" s="18">
        <v>8</v>
      </c>
      <c r="F400" s="18">
        <v>2</v>
      </c>
      <c r="G400" s="17" t="s">
        <v>118</v>
      </c>
      <c r="H400" s="18">
        <v>8</v>
      </c>
      <c r="I400" s="19"/>
      <c r="J400" s="4" t="str">
        <f t="shared" si="17"/>
        <v>OR008</v>
      </c>
      <c r="K400" s="6" t="str">
        <f>IFERROR(VLOOKUP(J400,'Inadimplencia - FEV 2025'!$A$5:$E$85,4,0),"0")</f>
        <v>0</v>
      </c>
      <c r="L400" s="6" t="str">
        <f>IFERROR(VLOOKUP(J400,'Inadimplencia - Out 2025'!$A$5:$E$85,4,0),"0")</f>
        <v>0</v>
      </c>
      <c r="M400" s="31">
        <f t="shared" si="16"/>
        <v>0</v>
      </c>
      <c r="N400" s="5"/>
    </row>
    <row r="401" spans="1:14" x14ac:dyDescent="0.25">
      <c r="A401" s="38"/>
      <c r="B401" s="26" t="s">
        <v>846</v>
      </c>
      <c r="C401" s="17" t="s">
        <v>783</v>
      </c>
      <c r="D401" s="17" t="s">
        <v>767</v>
      </c>
      <c r="E401" s="18">
        <v>9</v>
      </c>
      <c r="F401" s="18">
        <v>2</v>
      </c>
      <c r="G401" s="17" t="s">
        <v>118</v>
      </c>
      <c r="H401" s="18">
        <v>8</v>
      </c>
      <c r="I401" s="19"/>
      <c r="J401" s="4" t="str">
        <f t="shared" si="17"/>
        <v>OR009</v>
      </c>
      <c r="K401" s="6" t="str">
        <f>IFERROR(VLOOKUP(J401,'Inadimplencia - FEV 2025'!$A$5:$E$85,4,0),"0")</f>
        <v>0</v>
      </c>
      <c r="L401" s="6" t="str">
        <f>IFERROR(VLOOKUP(J401,'Inadimplencia - Out 2025'!$A$5:$E$85,4,0),"0")</f>
        <v>0</v>
      </c>
      <c r="M401" s="31">
        <f t="shared" si="16"/>
        <v>0</v>
      </c>
      <c r="N401" s="5"/>
    </row>
    <row r="402" spans="1:14" x14ac:dyDescent="0.25">
      <c r="A402" s="38"/>
      <c r="B402" s="26" t="s">
        <v>848</v>
      </c>
      <c r="C402" s="17" t="s">
        <v>785</v>
      </c>
      <c r="D402" s="17" t="s">
        <v>767</v>
      </c>
      <c r="E402" s="18">
        <v>10</v>
      </c>
      <c r="F402" s="18">
        <v>2</v>
      </c>
      <c r="G402" s="17" t="s">
        <v>118</v>
      </c>
      <c r="H402" s="18">
        <v>8</v>
      </c>
      <c r="I402" s="19"/>
      <c r="J402" s="4" t="str">
        <f t="shared" si="17"/>
        <v>OR010</v>
      </c>
      <c r="K402" s="6" t="str">
        <f>IFERROR(VLOOKUP(J402,'Inadimplencia - FEV 2025'!$A$5:$E$85,4,0),"0")</f>
        <v>0</v>
      </c>
      <c r="L402" s="6" t="str">
        <f>IFERROR(VLOOKUP(J402,'Inadimplencia - Out 2025'!$A$5:$E$85,4,0),"0")</f>
        <v>0</v>
      </c>
      <c r="M402" s="31">
        <f t="shared" si="16"/>
        <v>0</v>
      </c>
      <c r="N402" s="5"/>
    </row>
    <row r="403" spans="1:14" x14ac:dyDescent="0.25">
      <c r="A403" s="38"/>
      <c r="B403" s="26" t="s">
        <v>850</v>
      </c>
      <c r="C403" s="27" t="s">
        <v>787</v>
      </c>
      <c r="D403" s="27" t="s">
        <v>767</v>
      </c>
      <c r="E403" s="28">
        <v>11</v>
      </c>
      <c r="F403" s="28">
        <v>2</v>
      </c>
      <c r="G403" s="27" t="s">
        <v>118</v>
      </c>
      <c r="H403" s="28">
        <v>8</v>
      </c>
      <c r="I403" s="19"/>
      <c r="J403" s="4" t="str">
        <f t="shared" si="17"/>
        <v>OR011</v>
      </c>
      <c r="K403" s="6" t="str">
        <f>IFERROR(VLOOKUP(J403,'Inadimplencia - FEV 2025'!$A$5:$E$85,4,0),"0")</f>
        <v>0</v>
      </c>
      <c r="L403" s="6" t="str">
        <f>IFERROR(VLOOKUP(J403,'Inadimplencia - Out 2025'!$A$5:$E$85,4,0),"0")</f>
        <v>0</v>
      </c>
      <c r="M403" s="31">
        <f t="shared" si="16"/>
        <v>0</v>
      </c>
      <c r="N403" s="5"/>
    </row>
    <row r="404" spans="1:14" x14ac:dyDescent="0.25">
      <c r="A404" s="38"/>
      <c r="B404" s="16" t="s">
        <v>852</v>
      </c>
      <c r="C404" s="17" t="s">
        <v>789</v>
      </c>
      <c r="D404" s="17" t="s">
        <v>767</v>
      </c>
      <c r="E404" s="18">
        <v>12</v>
      </c>
      <c r="F404" s="18">
        <v>2</v>
      </c>
      <c r="G404" s="17" t="s">
        <v>118</v>
      </c>
      <c r="H404" s="18">
        <v>8</v>
      </c>
      <c r="I404" s="19"/>
      <c r="J404" s="4" t="str">
        <f t="shared" si="17"/>
        <v>OR012</v>
      </c>
      <c r="K404" s="6" t="str">
        <f>IFERROR(VLOOKUP(J404,'Inadimplencia - FEV 2025'!$A$5:$E$85,4,0),"0")</f>
        <v>0</v>
      </c>
      <c r="L404" s="6" t="str">
        <f>IFERROR(VLOOKUP(J404,'Inadimplencia - Out 2025'!$A$5:$E$85,4,0),"0")</f>
        <v>0</v>
      </c>
      <c r="M404" s="31">
        <f t="shared" si="16"/>
        <v>0</v>
      </c>
      <c r="N404" s="5"/>
    </row>
    <row r="405" spans="1:14" x14ac:dyDescent="0.25">
      <c r="A405" s="38"/>
      <c r="B405" s="26" t="s">
        <v>854</v>
      </c>
      <c r="C405" s="17" t="s">
        <v>795</v>
      </c>
      <c r="D405" s="17" t="s">
        <v>767</v>
      </c>
      <c r="E405" s="18">
        <v>15</v>
      </c>
      <c r="F405" s="18">
        <v>2</v>
      </c>
      <c r="G405" s="17" t="s">
        <v>118</v>
      </c>
      <c r="H405" s="18">
        <v>8</v>
      </c>
      <c r="I405" s="19"/>
      <c r="J405" s="4" t="str">
        <f t="shared" si="17"/>
        <v>OR015</v>
      </c>
      <c r="K405" s="6" t="str">
        <f>IFERROR(VLOOKUP(J405,'Inadimplencia - FEV 2025'!$A$5:$E$85,4,0),"0")</f>
        <v>0</v>
      </c>
      <c r="L405" s="6" t="str">
        <f>IFERROR(VLOOKUP(J405,'Inadimplencia - Out 2025'!$A$5:$E$85,4,0),"0")</f>
        <v>0</v>
      </c>
      <c r="M405" s="31">
        <f t="shared" si="16"/>
        <v>0</v>
      </c>
      <c r="N405" s="5"/>
    </row>
    <row r="406" spans="1:14" ht="25.5" x14ac:dyDescent="0.25">
      <c r="A406" s="38"/>
      <c r="B406" s="26" t="s">
        <v>856</v>
      </c>
      <c r="C406" s="17" t="s">
        <v>799</v>
      </c>
      <c r="D406" s="17" t="s">
        <v>767</v>
      </c>
      <c r="E406" s="18">
        <v>17</v>
      </c>
      <c r="F406" s="18">
        <v>2</v>
      </c>
      <c r="G406" s="17" t="s">
        <v>118</v>
      </c>
      <c r="H406" s="18">
        <v>8</v>
      </c>
      <c r="I406" s="19"/>
      <c r="J406" s="4" t="str">
        <f t="shared" si="17"/>
        <v>OR017</v>
      </c>
      <c r="K406" s="6" t="str">
        <f>IFERROR(VLOOKUP(J406,'Inadimplencia - FEV 2025'!$A$5:$E$85,4,0),"0")</f>
        <v>0</v>
      </c>
      <c r="L406" s="6" t="str">
        <f>IFERROR(VLOOKUP(J406,'Inadimplencia - Out 2025'!$A$5:$E$85,4,0),"0")</f>
        <v>0</v>
      </c>
      <c r="M406" s="31">
        <f t="shared" si="16"/>
        <v>0</v>
      </c>
      <c r="N406" s="5"/>
    </row>
    <row r="407" spans="1:14" ht="25.5" x14ac:dyDescent="0.25">
      <c r="A407" s="38"/>
      <c r="B407" s="26" t="s">
        <v>858</v>
      </c>
      <c r="C407" s="27" t="s">
        <v>533</v>
      </c>
      <c r="D407" s="27" t="s">
        <v>767</v>
      </c>
      <c r="E407" s="28">
        <v>18</v>
      </c>
      <c r="F407" s="28">
        <v>2</v>
      </c>
      <c r="G407" s="27" t="s">
        <v>133</v>
      </c>
      <c r="H407" s="28">
        <v>8</v>
      </c>
      <c r="I407" s="19"/>
      <c r="J407" s="4" t="str">
        <f t="shared" si="17"/>
        <v>OR018</v>
      </c>
      <c r="K407" s="6" t="str">
        <f>IFERROR(VLOOKUP(J407,'Inadimplencia - FEV 2025'!$A$5:$E$85,4,0),"0")</f>
        <v>0</v>
      </c>
      <c r="L407" s="6" t="str">
        <f>IFERROR(VLOOKUP(J407,'Inadimplencia - Out 2025'!$A$5:$E$85,4,0),"0")</f>
        <v>0</v>
      </c>
      <c r="M407" s="31">
        <f t="shared" si="16"/>
        <v>0</v>
      </c>
      <c r="N407" s="5"/>
    </row>
    <row r="408" spans="1:14" x14ac:dyDescent="0.25">
      <c r="A408" s="38"/>
      <c r="B408" s="26" t="s">
        <v>860</v>
      </c>
      <c r="C408" s="27" t="s">
        <v>801</v>
      </c>
      <c r="D408" s="27" t="s">
        <v>767</v>
      </c>
      <c r="E408" s="28">
        <v>19</v>
      </c>
      <c r="F408" s="28">
        <v>2</v>
      </c>
      <c r="G408" s="27" t="s">
        <v>118</v>
      </c>
      <c r="H408" s="28">
        <v>8</v>
      </c>
      <c r="I408" s="19"/>
      <c r="J408" s="4" t="str">
        <f t="shared" si="17"/>
        <v>OR019</v>
      </c>
      <c r="K408" s="6" t="str">
        <f>IFERROR(VLOOKUP(J408,'Inadimplencia - FEV 2025'!$A$5:$E$85,4,0),"0")</f>
        <v>0</v>
      </c>
      <c r="L408" s="6" t="str">
        <f>IFERROR(VLOOKUP(J408,'Inadimplencia - Out 2025'!$A$5:$E$85,4,0),"0")</f>
        <v>0</v>
      </c>
      <c r="M408" s="31">
        <f t="shared" si="16"/>
        <v>0</v>
      </c>
      <c r="N408" s="5"/>
    </row>
    <row r="409" spans="1:14" x14ac:dyDescent="0.25">
      <c r="A409" s="38"/>
      <c r="B409" s="23" t="s">
        <v>860</v>
      </c>
      <c r="C409" s="17" t="s">
        <v>805</v>
      </c>
      <c r="D409" s="17" t="s">
        <v>767</v>
      </c>
      <c r="E409" s="18">
        <v>21</v>
      </c>
      <c r="F409" s="18">
        <v>2</v>
      </c>
      <c r="G409" s="17" t="s">
        <v>118</v>
      </c>
      <c r="H409" s="18">
        <v>8</v>
      </c>
      <c r="I409" s="19"/>
      <c r="J409" s="4" t="str">
        <f t="shared" si="17"/>
        <v>OR021</v>
      </c>
      <c r="K409" s="6" t="str">
        <f>IFERROR(VLOOKUP(J409,'Inadimplencia - FEV 2025'!$A$5:$E$85,4,0),"0")</f>
        <v>0</v>
      </c>
      <c r="L409" s="6" t="str">
        <f>IFERROR(VLOOKUP(J409,'Inadimplencia - Out 2025'!$A$5:$E$85,4,0),"0")</f>
        <v>0</v>
      </c>
      <c r="M409" s="31">
        <f t="shared" si="16"/>
        <v>0</v>
      </c>
      <c r="N409" s="5"/>
    </row>
    <row r="410" spans="1:14" ht="25.5" x14ac:dyDescent="0.25">
      <c r="A410" s="38"/>
      <c r="B410" s="16" t="s">
        <v>862</v>
      </c>
      <c r="C410" s="17" t="s">
        <v>533</v>
      </c>
      <c r="D410" s="17" t="s">
        <v>767</v>
      </c>
      <c r="E410" s="18">
        <v>22</v>
      </c>
      <c r="F410" s="18">
        <v>2</v>
      </c>
      <c r="G410" s="17" t="s">
        <v>133</v>
      </c>
      <c r="H410" s="18">
        <v>8</v>
      </c>
      <c r="I410" s="19"/>
      <c r="J410" s="4" t="str">
        <f t="shared" si="17"/>
        <v>OR022</v>
      </c>
      <c r="K410" s="6" t="str">
        <f>IFERROR(VLOOKUP(J410,'Inadimplencia - FEV 2025'!$A$5:$E$85,4,0),"0")</f>
        <v>0</v>
      </c>
      <c r="L410" s="6" t="str">
        <f>IFERROR(VLOOKUP(J410,'Inadimplencia - Out 2025'!$A$5:$E$85,4,0),"0")</f>
        <v>0</v>
      </c>
      <c r="M410" s="31">
        <f t="shared" si="16"/>
        <v>0</v>
      </c>
      <c r="N410" s="5"/>
    </row>
    <row r="411" spans="1:14" x14ac:dyDescent="0.25">
      <c r="A411" s="38"/>
      <c r="B411" s="16" t="s">
        <v>864</v>
      </c>
      <c r="C411" s="17" t="s">
        <v>807</v>
      </c>
      <c r="D411" s="17" t="s">
        <v>767</v>
      </c>
      <c r="E411" s="18">
        <v>23</v>
      </c>
      <c r="F411" s="18">
        <v>2</v>
      </c>
      <c r="G411" s="17" t="s">
        <v>118</v>
      </c>
      <c r="H411" s="18">
        <v>8</v>
      </c>
      <c r="I411" s="19"/>
      <c r="J411" s="4" t="str">
        <f t="shared" si="17"/>
        <v>OR023</v>
      </c>
      <c r="K411" s="6" t="str">
        <f>IFERROR(VLOOKUP(J411,'Inadimplencia - FEV 2025'!$A$5:$E$85,4,0),"0")</f>
        <v>0</v>
      </c>
      <c r="L411" s="6" t="str">
        <f>IFERROR(VLOOKUP(J411,'Inadimplencia - Out 2025'!$A$5:$E$85,4,0),"0")</f>
        <v>0</v>
      </c>
      <c r="M411" s="31">
        <f t="shared" si="16"/>
        <v>0</v>
      </c>
      <c r="N411" s="5"/>
    </row>
    <row r="412" spans="1:14" x14ac:dyDescent="0.25">
      <c r="A412" s="38"/>
      <c r="B412" s="16" t="s">
        <v>866</v>
      </c>
      <c r="C412" s="27" t="s">
        <v>809</v>
      </c>
      <c r="D412" s="27" t="s">
        <v>767</v>
      </c>
      <c r="E412" s="28">
        <v>24</v>
      </c>
      <c r="F412" s="28">
        <v>2</v>
      </c>
      <c r="G412" s="27" t="s">
        <v>118</v>
      </c>
      <c r="H412" s="28">
        <v>8</v>
      </c>
      <c r="I412" s="19"/>
      <c r="J412" s="4" t="str">
        <f t="shared" si="17"/>
        <v>OR024</v>
      </c>
      <c r="K412" s="6" t="str">
        <f>IFERROR(VLOOKUP(J412,'Inadimplencia - FEV 2025'!$A$5:$E$85,4,0),"0")</f>
        <v>0</v>
      </c>
      <c r="L412" s="6" t="str">
        <f>IFERROR(VLOOKUP(J412,'Inadimplencia - Out 2025'!$A$5:$E$85,4,0),"0")</f>
        <v>0</v>
      </c>
      <c r="M412" s="31">
        <f t="shared" si="16"/>
        <v>0</v>
      </c>
      <c r="N412" s="5"/>
    </row>
    <row r="413" spans="1:14" x14ac:dyDescent="0.25">
      <c r="A413" s="38"/>
      <c r="B413" s="26" t="s">
        <v>868</v>
      </c>
      <c r="C413" s="27" t="s">
        <v>811</v>
      </c>
      <c r="D413" s="27" t="s">
        <v>767</v>
      </c>
      <c r="E413" s="28">
        <v>25</v>
      </c>
      <c r="F413" s="28">
        <v>2</v>
      </c>
      <c r="G413" s="27" t="s">
        <v>118</v>
      </c>
      <c r="H413" s="28">
        <v>8</v>
      </c>
      <c r="I413" s="19"/>
      <c r="J413" s="4" t="str">
        <f t="shared" si="17"/>
        <v>OR025</v>
      </c>
      <c r="K413" s="6" t="str">
        <f>IFERROR(VLOOKUP(J413,'Inadimplencia - FEV 2025'!$A$5:$E$85,4,0),"0")</f>
        <v>0</v>
      </c>
      <c r="L413" s="6" t="str">
        <f>IFERROR(VLOOKUP(J413,'Inadimplencia - Out 2025'!$A$5:$E$85,4,0),"0")</f>
        <v>0</v>
      </c>
      <c r="M413" s="31">
        <f t="shared" si="16"/>
        <v>0</v>
      </c>
      <c r="N413" s="5"/>
    </row>
    <row r="414" spans="1:14" x14ac:dyDescent="0.25">
      <c r="A414" s="38"/>
      <c r="B414" s="26" t="s">
        <v>832</v>
      </c>
      <c r="C414" s="27" t="s">
        <v>813</v>
      </c>
      <c r="D414" s="27" t="s">
        <v>767</v>
      </c>
      <c r="E414" s="28">
        <v>26</v>
      </c>
      <c r="F414" s="28">
        <v>2</v>
      </c>
      <c r="G414" s="27" t="s">
        <v>118</v>
      </c>
      <c r="H414" s="28">
        <v>8</v>
      </c>
      <c r="I414" s="19"/>
      <c r="J414" s="4" t="str">
        <f t="shared" si="17"/>
        <v>OR026</v>
      </c>
      <c r="K414" s="6" t="str">
        <f>IFERROR(VLOOKUP(J414,'Inadimplencia - FEV 2025'!$A$5:$E$85,4,0),"0")</f>
        <v>0</v>
      </c>
      <c r="L414" s="6" t="str">
        <f>IFERROR(VLOOKUP(J414,'Inadimplencia - Out 2025'!$A$5:$E$85,4,0),"0")</f>
        <v>0</v>
      </c>
      <c r="M414" s="31">
        <f t="shared" si="16"/>
        <v>0</v>
      </c>
      <c r="N414" s="5"/>
    </row>
    <row r="415" spans="1:14" ht="25.5" x14ac:dyDescent="0.25">
      <c r="A415" s="38"/>
      <c r="B415" s="26" t="s">
        <v>870</v>
      </c>
      <c r="C415" s="17" t="s">
        <v>815</v>
      </c>
      <c r="D415" s="17" t="s">
        <v>767</v>
      </c>
      <c r="E415" s="18">
        <v>27</v>
      </c>
      <c r="F415" s="18">
        <v>2</v>
      </c>
      <c r="G415" s="17" t="s">
        <v>118</v>
      </c>
      <c r="H415" s="18">
        <v>8</v>
      </c>
      <c r="I415" s="19"/>
      <c r="J415" s="4" t="str">
        <f t="shared" si="17"/>
        <v>OR027</v>
      </c>
      <c r="K415" s="6" t="str">
        <f>IFERROR(VLOOKUP(J415,'Inadimplencia - FEV 2025'!$A$5:$E$85,4,0),"0")</f>
        <v>0</v>
      </c>
      <c r="L415" s="6" t="str">
        <f>IFERROR(VLOOKUP(J415,'Inadimplencia - Out 2025'!$A$5:$E$85,4,0),"0")</f>
        <v>0</v>
      </c>
      <c r="M415" s="31">
        <f t="shared" si="16"/>
        <v>0</v>
      </c>
      <c r="N415" s="5"/>
    </row>
    <row r="416" spans="1:14" x14ac:dyDescent="0.25">
      <c r="A416" s="38"/>
      <c r="B416" s="26" t="s">
        <v>872</v>
      </c>
      <c r="C416" s="27" t="s">
        <v>819</v>
      </c>
      <c r="D416" s="27" t="s">
        <v>767</v>
      </c>
      <c r="E416" s="28">
        <v>29</v>
      </c>
      <c r="F416" s="28">
        <v>2</v>
      </c>
      <c r="G416" s="27" t="s">
        <v>118</v>
      </c>
      <c r="H416" s="28">
        <v>8</v>
      </c>
      <c r="I416" s="19"/>
      <c r="J416" s="4" t="str">
        <f t="shared" si="17"/>
        <v>OR029</v>
      </c>
      <c r="K416" s="6" t="str">
        <f>IFERROR(VLOOKUP(J416,'Inadimplencia - FEV 2025'!$A$5:$E$85,4,0),"0")</f>
        <v>0</v>
      </c>
      <c r="L416" s="6" t="str">
        <f>IFERROR(VLOOKUP(J416,'Inadimplencia - Out 2025'!$A$5:$E$85,4,0),"0")</f>
        <v>0</v>
      </c>
      <c r="M416" s="31">
        <f t="shared" si="16"/>
        <v>0</v>
      </c>
      <c r="N416" s="5"/>
    </row>
    <row r="417" spans="1:14" x14ac:dyDescent="0.25">
      <c r="A417" s="38"/>
      <c r="B417" s="16" t="s">
        <v>874</v>
      </c>
      <c r="C417" s="17" t="s">
        <v>821</v>
      </c>
      <c r="D417" s="17" t="s">
        <v>767</v>
      </c>
      <c r="E417" s="18">
        <v>30</v>
      </c>
      <c r="F417" s="18">
        <v>2</v>
      </c>
      <c r="G417" s="17" t="s">
        <v>118</v>
      </c>
      <c r="H417" s="18">
        <v>8</v>
      </c>
      <c r="I417" s="19"/>
      <c r="J417" s="4" t="str">
        <f t="shared" si="17"/>
        <v>OR030</v>
      </c>
      <c r="K417" s="6" t="str">
        <f>IFERROR(VLOOKUP(J417,'Inadimplencia - FEV 2025'!$A$5:$E$85,4,0),"0")</f>
        <v>0</v>
      </c>
      <c r="L417" s="6" t="str">
        <f>IFERROR(VLOOKUP(J417,'Inadimplencia - Out 2025'!$A$5:$E$85,4,0),"0")</f>
        <v>0</v>
      </c>
      <c r="M417" s="31">
        <f t="shared" si="16"/>
        <v>0</v>
      </c>
      <c r="N417" s="5"/>
    </row>
    <row r="418" spans="1:14" x14ac:dyDescent="0.25">
      <c r="A418" s="38"/>
      <c r="B418" s="26" t="s">
        <v>876</v>
      </c>
      <c r="C418" s="17" t="s">
        <v>823</v>
      </c>
      <c r="D418" s="17" t="s">
        <v>767</v>
      </c>
      <c r="E418" s="18">
        <v>31</v>
      </c>
      <c r="F418" s="18">
        <v>2</v>
      </c>
      <c r="G418" s="17" t="s">
        <v>118</v>
      </c>
      <c r="H418" s="18">
        <v>8</v>
      </c>
      <c r="I418" s="19"/>
      <c r="J418" s="4" t="str">
        <f t="shared" si="17"/>
        <v>OR031</v>
      </c>
      <c r="K418" s="6" t="str">
        <f>IFERROR(VLOOKUP(J418,'Inadimplencia - FEV 2025'!$A$5:$E$85,4,0),"0")</f>
        <v>0</v>
      </c>
      <c r="L418" s="6" t="str">
        <f>IFERROR(VLOOKUP(J418,'Inadimplencia - Out 2025'!$A$5:$E$85,4,0),"0")</f>
        <v>0</v>
      </c>
      <c r="M418" s="31">
        <f t="shared" si="16"/>
        <v>0</v>
      </c>
      <c r="N418" s="5"/>
    </row>
    <row r="419" spans="1:14" x14ac:dyDescent="0.25">
      <c r="A419" s="38"/>
      <c r="B419" s="26" t="s">
        <v>878</v>
      </c>
      <c r="C419" s="17" t="s">
        <v>825</v>
      </c>
      <c r="D419" s="17" t="s">
        <v>767</v>
      </c>
      <c r="E419" s="18">
        <v>32</v>
      </c>
      <c r="F419" s="18">
        <v>2</v>
      </c>
      <c r="G419" s="17" t="s">
        <v>118</v>
      </c>
      <c r="H419" s="18">
        <v>8</v>
      </c>
      <c r="I419" s="19"/>
      <c r="J419" s="4" t="str">
        <f t="shared" si="17"/>
        <v>OR032</v>
      </c>
      <c r="K419" s="6" t="str">
        <f>IFERROR(VLOOKUP(J419,'Inadimplencia - FEV 2025'!$A$5:$E$85,4,0),"0")</f>
        <v>0</v>
      </c>
      <c r="L419" s="6" t="str">
        <f>IFERROR(VLOOKUP(J419,'Inadimplencia - Out 2025'!$A$5:$E$85,4,0),"0")</f>
        <v>0</v>
      </c>
      <c r="M419" s="31">
        <f t="shared" si="16"/>
        <v>0</v>
      </c>
      <c r="N419" s="5"/>
    </row>
    <row r="420" spans="1:14" x14ac:dyDescent="0.25">
      <c r="A420" s="38"/>
      <c r="B420" s="26" t="s">
        <v>880</v>
      </c>
      <c r="C420" s="17" t="s">
        <v>827</v>
      </c>
      <c r="D420" s="17" t="s">
        <v>767</v>
      </c>
      <c r="E420" s="18">
        <v>33</v>
      </c>
      <c r="F420" s="18">
        <v>2</v>
      </c>
      <c r="G420" s="17" t="s">
        <v>118</v>
      </c>
      <c r="H420" s="18">
        <v>8</v>
      </c>
      <c r="I420" s="19"/>
      <c r="J420" s="4" t="str">
        <f t="shared" si="17"/>
        <v>OR033</v>
      </c>
      <c r="K420" s="6" t="str">
        <f>IFERROR(VLOOKUP(J420,'Inadimplencia - FEV 2025'!$A$5:$E$85,4,0),"0")</f>
        <v>0</v>
      </c>
      <c r="L420" s="6" t="str">
        <f>IFERROR(VLOOKUP(J420,'Inadimplencia - Out 2025'!$A$5:$E$85,4,0),"0")</f>
        <v>0</v>
      </c>
      <c r="M420" s="31">
        <f t="shared" si="16"/>
        <v>0</v>
      </c>
      <c r="N420" s="5"/>
    </row>
    <row r="421" spans="1:14" x14ac:dyDescent="0.25">
      <c r="A421" s="38"/>
      <c r="B421" s="26" t="s">
        <v>882</v>
      </c>
      <c r="C421" s="17" t="s">
        <v>829</v>
      </c>
      <c r="D421" s="17" t="s">
        <v>767</v>
      </c>
      <c r="E421" s="18">
        <v>34</v>
      </c>
      <c r="F421" s="18">
        <v>2</v>
      </c>
      <c r="G421" s="17" t="s">
        <v>118</v>
      </c>
      <c r="H421" s="18">
        <v>8</v>
      </c>
      <c r="I421" s="19"/>
      <c r="J421" s="4" t="str">
        <f t="shared" si="17"/>
        <v>OR034</v>
      </c>
      <c r="K421" s="6" t="str">
        <f>IFERROR(VLOOKUP(J421,'Inadimplencia - FEV 2025'!$A$5:$E$85,4,0),"0")</f>
        <v>0</v>
      </c>
      <c r="L421" s="6" t="str">
        <f>IFERROR(VLOOKUP(J421,'Inadimplencia - Out 2025'!$A$5:$E$85,4,0),"0")</f>
        <v>0</v>
      </c>
      <c r="M421" s="31">
        <f t="shared" si="16"/>
        <v>0</v>
      </c>
      <c r="N421" s="5"/>
    </row>
    <row r="422" spans="1:14" x14ac:dyDescent="0.25">
      <c r="A422" s="38"/>
      <c r="B422" s="26" t="s">
        <v>884</v>
      </c>
      <c r="C422" s="17" t="s">
        <v>835</v>
      </c>
      <c r="D422" s="17" t="s">
        <v>767</v>
      </c>
      <c r="E422" s="18">
        <v>37</v>
      </c>
      <c r="F422" s="18">
        <v>2</v>
      </c>
      <c r="G422" s="17" t="s">
        <v>118</v>
      </c>
      <c r="H422" s="18">
        <v>8</v>
      </c>
      <c r="I422" s="19"/>
      <c r="J422" s="4" t="str">
        <f t="shared" si="17"/>
        <v>OR037</v>
      </c>
      <c r="K422" s="6" t="str">
        <f>IFERROR(VLOOKUP(J422,'Inadimplencia - FEV 2025'!$A$5:$E$85,4,0),"0")</f>
        <v>0</v>
      </c>
      <c r="L422" s="6" t="str">
        <f>IFERROR(VLOOKUP(J422,'Inadimplencia - Out 2025'!$A$5:$E$85,4,0),"0")</f>
        <v>0</v>
      </c>
      <c r="M422" s="31">
        <f t="shared" si="16"/>
        <v>0</v>
      </c>
      <c r="N422" s="5"/>
    </row>
    <row r="423" spans="1:14" x14ac:dyDescent="0.25">
      <c r="A423" s="38"/>
      <c r="B423" s="26" t="s">
        <v>886</v>
      </c>
      <c r="C423" s="27" t="s">
        <v>837</v>
      </c>
      <c r="D423" s="27" t="s">
        <v>767</v>
      </c>
      <c r="E423" s="28">
        <v>38</v>
      </c>
      <c r="F423" s="28">
        <v>2</v>
      </c>
      <c r="G423" s="27" t="s">
        <v>118</v>
      </c>
      <c r="H423" s="28">
        <v>8</v>
      </c>
      <c r="I423" s="19"/>
      <c r="J423" s="4" t="str">
        <f t="shared" si="17"/>
        <v>OR038</v>
      </c>
      <c r="K423" s="6" t="str">
        <f>IFERROR(VLOOKUP(J423,'Inadimplencia - FEV 2025'!$A$5:$E$85,4,0),"0")</f>
        <v>0</v>
      </c>
      <c r="L423" s="6" t="str">
        <f>IFERROR(VLOOKUP(J423,'Inadimplencia - Out 2025'!$A$5:$E$85,4,0),"0")</f>
        <v>0</v>
      </c>
      <c r="M423" s="31">
        <f t="shared" si="16"/>
        <v>0</v>
      </c>
      <c r="N423" s="5"/>
    </row>
    <row r="424" spans="1:14" x14ac:dyDescent="0.25">
      <c r="A424" s="38"/>
      <c r="B424" s="16" t="s">
        <v>888</v>
      </c>
      <c r="C424" s="17" t="s">
        <v>839</v>
      </c>
      <c r="D424" s="17" t="s">
        <v>767</v>
      </c>
      <c r="E424" s="18">
        <v>39</v>
      </c>
      <c r="F424" s="18">
        <v>2</v>
      </c>
      <c r="G424" s="17" t="s">
        <v>118</v>
      </c>
      <c r="H424" s="18">
        <v>8</v>
      </c>
      <c r="I424" s="19"/>
      <c r="J424" s="4" t="str">
        <f t="shared" si="17"/>
        <v>OR039</v>
      </c>
      <c r="K424" s="6" t="str">
        <f>IFERROR(VLOOKUP(J424,'Inadimplencia - FEV 2025'!$A$5:$E$85,4,0),"0")</f>
        <v>0</v>
      </c>
      <c r="L424" s="6" t="str">
        <f>IFERROR(VLOOKUP(J424,'Inadimplencia - Out 2025'!$A$5:$E$85,4,0),"0")</f>
        <v>0</v>
      </c>
      <c r="M424" s="31">
        <f t="shared" si="16"/>
        <v>0</v>
      </c>
      <c r="N424" s="5"/>
    </row>
    <row r="425" spans="1:14" ht="25.5" x14ac:dyDescent="0.25">
      <c r="A425" s="38"/>
      <c r="B425" s="16" t="s">
        <v>890</v>
      </c>
      <c r="C425" s="27" t="s">
        <v>533</v>
      </c>
      <c r="D425" s="27" t="s">
        <v>767</v>
      </c>
      <c r="E425" s="28">
        <v>40</v>
      </c>
      <c r="F425" s="28">
        <v>2</v>
      </c>
      <c r="G425" s="27" t="s">
        <v>133</v>
      </c>
      <c r="H425" s="28">
        <v>8</v>
      </c>
      <c r="I425" s="19"/>
      <c r="J425" s="4" t="str">
        <f t="shared" si="17"/>
        <v>OR040</v>
      </c>
      <c r="K425" s="6" t="str">
        <f>IFERROR(VLOOKUP(J425,'Inadimplencia - FEV 2025'!$A$5:$E$85,4,0),"0")</f>
        <v>0</v>
      </c>
      <c r="L425" s="6" t="str">
        <f>IFERROR(VLOOKUP(J425,'Inadimplencia - Out 2025'!$A$5:$E$85,4,0),"0")</f>
        <v>0</v>
      </c>
      <c r="M425" s="31">
        <f t="shared" si="16"/>
        <v>0</v>
      </c>
      <c r="N425" s="5"/>
    </row>
    <row r="426" spans="1:14" x14ac:dyDescent="0.25">
      <c r="A426" s="38"/>
      <c r="B426" s="26" t="s">
        <v>892</v>
      </c>
      <c r="C426" s="27" t="s">
        <v>841</v>
      </c>
      <c r="D426" s="27" t="s">
        <v>767</v>
      </c>
      <c r="E426" s="28">
        <v>41</v>
      </c>
      <c r="F426" s="28">
        <v>2</v>
      </c>
      <c r="G426" s="27" t="s">
        <v>118</v>
      </c>
      <c r="H426" s="28">
        <v>8</v>
      </c>
      <c r="I426" s="19"/>
      <c r="J426" s="4" t="str">
        <f t="shared" ref="J426:J457" si="18">"OR" &amp; TEXT(E426, "000")</f>
        <v>OR041</v>
      </c>
      <c r="K426" s="6" t="str">
        <f>IFERROR(VLOOKUP(J426,'Inadimplencia - FEV 2025'!$A$5:$E$85,4,0),"0")</f>
        <v>0</v>
      </c>
      <c r="L426" s="6" t="str">
        <f>IFERROR(VLOOKUP(J426,'Inadimplencia - Out 2025'!$A$5:$E$85,4,0),"0")</f>
        <v>0</v>
      </c>
      <c r="M426" s="31">
        <f t="shared" si="16"/>
        <v>0</v>
      </c>
      <c r="N426" s="5"/>
    </row>
    <row r="427" spans="1:14" x14ac:dyDescent="0.25">
      <c r="A427" s="38"/>
      <c r="B427" s="16" t="s">
        <v>894</v>
      </c>
      <c r="C427" s="17" t="s">
        <v>843</v>
      </c>
      <c r="D427" s="17" t="s">
        <v>767</v>
      </c>
      <c r="E427" s="18">
        <v>42</v>
      </c>
      <c r="F427" s="18">
        <v>2</v>
      </c>
      <c r="G427" s="17" t="s">
        <v>118</v>
      </c>
      <c r="H427" s="18">
        <v>8</v>
      </c>
      <c r="I427" s="19"/>
      <c r="J427" s="4" t="str">
        <f t="shared" si="18"/>
        <v>OR042</v>
      </c>
      <c r="K427" s="6" t="str">
        <f>IFERROR(VLOOKUP(J427,'Inadimplencia - FEV 2025'!$A$5:$E$85,4,0),"0")</f>
        <v>0</v>
      </c>
      <c r="L427" s="6" t="str">
        <f>IFERROR(VLOOKUP(J427,'Inadimplencia - Out 2025'!$A$5:$E$85,4,0),"0")</f>
        <v>0</v>
      </c>
      <c r="M427" s="31">
        <f t="shared" si="16"/>
        <v>0</v>
      </c>
      <c r="N427" s="5"/>
    </row>
    <row r="428" spans="1:14" x14ac:dyDescent="0.25">
      <c r="A428" s="38"/>
      <c r="B428" s="16" t="s">
        <v>896</v>
      </c>
      <c r="C428" s="27" t="s">
        <v>845</v>
      </c>
      <c r="D428" s="27" t="s">
        <v>767</v>
      </c>
      <c r="E428" s="28">
        <v>43</v>
      </c>
      <c r="F428" s="28">
        <v>2</v>
      </c>
      <c r="G428" s="27" t="s">
        <v>118</v>
      </c>
      <c r="H428" s="28">
        <v>8</v>
      </c>
      <c r="I428" s="19"/>
      <c r="J428" s="4" t="str">
        <f t="shared" si="18"/>
        <v>OR043</v>
      </c>
      <c r="K428" s="6" t="str">
        <f>IFERROR(VLOOKUP(J428,'Inadimplencia - FEV 2025'!$A$5:$E$85,4,0),"0")</f>
        <v>0</v>
      </c>
      <c r="L428" s="6" t="str">
        <f>IFERROR(VLOOKUP(J428,'Inadimplencia - Out 2025'!$A$5:$E$85,4,0),"0")</f>
        <v>0</v>
      </c>
      <c r="M428" s="31">
        <f t="shared" si="16"/>
        <v>0</v>
      </c>
      <c r="N428" s="5"/>
    </row>
    <row r="429" spans="1:14" ht="25.5" x14ac:dyDescent="0.25">
      <c r="A429" s="38"/>
      <c r="B429" s="26" t="s">
        <v>898</v>
      </c>
      <c r="C429" s="27" t="s">
        <v>847</v>
      </c>
      <c r="D429" s="27" t="s">
        <v>767</v>
      </c>
      <c r="E429" s="28">
        <v>44</v>
      </c>
      <c r="F429" s="28">
        <v>2</v>
      </c>
      <c r="G429" s="27" t="s">
        <v>118</v>
      </c>
      <c r="H429" s="28">
        <v>8</v>
      </c>
      <c r="I429" s="19"/>
      <c r="J429" s="4" t="str">
        <f t="shared" si="18"/>
        <v>OR044</v>
      </c>
      <c r="K429" s="6" t="str">
        <f>IFERROR(VLOOKUP(J429,'Inadimplencia - FEV 2025'!$A$5:$E$85,4,0),"0")</f>
        <v>0</v>
      </c>
      <c r="L429" s="6" t="str">
        <f>IFERROR(VLOOKUP(J429,'Inadimplencia - Out 2025'!$A$5:$E$85,4,0),"0")</f>
        <v>0</v>
      </c>
      <c r="M429" s="31">
        <f t="shared" si="16"/>
        <v>0</v>
      </c>
      <c r="N429" s="5"/>
    </row>
    <row r="430" spans="1:14" x14ac:dyDescent="0.25">
      <c r="A430" s="38"/>
      <c r="B430" s="16" t="s">
        <v>900</v>
      </c>
      <c r="C430" s="27" t="s">
        <v>849</v>
      </c>
      <c r="D430" s="27" t="s">
        <v>767</v>
      </c>
      <c r="E430" s="28">
        <v>45</v>
      </c>
      <c r="F430" s="28">
        <v>2</v>
      </c>
      <c r="G430" s="27" t="s">
        <v>118</v>
      </c>
      <c r="H430" s="28">
        <v>8</v>
      </c>
      <c r="I430" s="19"/>
      <c r="J430" s="4" t="str">
        <f t="shared" si="18"/>
        <v>OR045</v>
      </c>
      <c r="K430" s="6" t="str">
        <f>IFERROR(VLOOKUP(J430,'Inadimplencia - FEV 2025'!$A$5:$E$85,4,0),"0")</f>
        <v>0</v>
      </c>
      <c r="L430" s="6" t="str">
        <f>IFERROR(VLOOKUP(J430,'Inadimplencia - Out 2025'!$A$5:$E$85,4,0),"0")</f>
        <v>0</v>
      </c>
      <c r="M430" s="31">
        <f t="shared" si="16"/>
        <v>0</v>
      </c>
      <c r="N430" s="5"/>
    </row>
    <row r="431" spans="1:14" x14ac:dyDescent="0.25">
      <c r="A431" s="38"/>
      <c r="B431" s="26" t="s">
        <v>902</v>
      </c>
      <c r="C431" s="27" t="s">
        <v>851</v>
      </c>
      <c r="D431" s="27" t="s">
        <v>767</v>
      </c>
      <c r="E431" s="28">
        <v>46</v>
      </c>
      <c r="F431" s="28">
        <v>2</v>
      </c>
      <c r="G431" s="27" t="s">
        <v>118</v>
      </c>
      <c r="H431" s="28">
        <v>8</v>
      </c>
      <c r="I431" s="19"/>
      <c r="J431" s="4" t="str">
        <f t="shared" si="18"/>
        <v>OR046</v>
      </c>
      <c r="K431" s="6" t="str">
        <f>IFERROR(VLOOKUP(J431,'Inadimplencia - FEV 2025'!$A$5:$E$85,4,0),"0")</f>
        <v>0</v>
      </c>
      <c r="L431" s="6" t="str">
        <f>IFERROR(VLOOKUP(J431,'Inadimplencia - Out 2025'!$A$5:$E$85,4,0),"0")</f>
        <v>0</v>
      </c>
      <c r="M431" s="31">
        <f t="shared" si="16"/>
        <v>0</v>
      </c>
      <c r="N431" s="5"/>
    </row>
    <row r="432" spans="1:14" x14ac:dyDescent="0.25">
      <c r="A432" s="38"/>
      <c r="B432" s="16" t="s">
        <v>904</v>
      </c>
      <c r="C432" s="27" t="s">
        <v>855</v>
      </c>
      <c r="D432" s="27" t="s">
        <v>767</v>
      </c>
      <c r="E432" s="28">
        <v>48</v>
      </c>
      <c r="F432" s="28">
        <v>2</v>
      </c>
      <c r="G432" s="27" t="s">
        <v>118</v>
      </c>
      <c r="H432" s="28">
        <v>8</v>
      </c>
      <c r="I432" s="19"/>
      <c r="J432" s="4" t="str">
        <f t="shared" si="18"/>
        <v>OR048</v>
      </c>
      <c r="K432" s="6" t="str">
        <f>IFERROR(VLOOKUP(J432,'Inadimplencia - FEV 2025'!$A$5:$E$85,4,0),"0")</f>
        <v>0</v>
      </c>
      <c r="L432" s="6" t="str">
        <f>IFERROR(VLOOKUP(J432,'Inadimplencia - Out 2025'!$A$5:$E$85,4,0),"0")</f>
        <v>0</v>
      </c>
      <c r="M432" s="31">
        <f t="shared" si="16"/>
        <v>0</v>
      </c>
      <c r="N432" s="5"/>
    </row>
    <row r="433" spans="1:14" x14ac:dyDescent="0.25">
      <c r="A433" s="38"/>
      <c r="B433" s="26" t="s">
        <v>906</v>
      </c>
      <c r="C433" s="27" t="s">
        <v>859</v>
      </c>
      <c r="D433" s="27" t="s">
        <v>767</v>
      </c>
      <c r="E433" s="28">
        <v>50</v>
      </c>
      <c r="F433" s="28">
        <v>2</v>
      </c>
      <c r="G433" s="27" t="s">
        <v>118</v>
      </c>
      <c r="H433" s="28">
        <v>8</v>
      </c>
      <c r="I433" s="19"/>
      <c r="J433" s="4" t="str">
        <f t="shared" si="18"/>
        <v>OR050</v>
      </c>
      <c r="K433" s="6" t="str">
        <f>IFERROR(VLOOKUP(J433,'Inadimplencia - FEV 2025'!$A$5:$E$85,4,0),"0")</f>
        <v>0</v>
      </c>
      <c r="L433" s="6" t="str">
        <f>IFERROR(VLOOKUP(J433,'Inadimplencia - Out 2025'!$A$5:$E$85,4,0),"0")</f>
        <v>0</v>
      </c>
      <c r="M433" s="31">
        <f t="shared" si="16"/>
        <v>0</v>
      </c>
      <c r="N433" s="5"/>
    </row>
    <row r="434" spans="1:14" x14ac:dyDescent="0.25">
      <c r="A434" s="38"/>
      <c r="B434" s="26" t="s">
        <v>908</v>
      </c>
      <c r="C434" s="24" t="s">
        <v>861</v>
      </c>
      <c r="D434" s="24" t="s">
        <v>767</v>
      </c>
      <c r="E434" s="25">
        <v>52</v>
      </c>
      <c r="F434" s="25">
        <v>2</v>
      </c>
      <c r="G434" s="24" t="s">
        <v>133</v>
      </c>
      <c r="H434" s="25">
        <v>8</v>
      </c>
      <c r="I434" s="19"/>
      <c r="J434" s="4" t="str">
        <f t="shared" si="18"/>
        <v>OR052</v>
      </c>
      <c r="K434" s="6" t="str">
        <f>IFERROR(VLOOKUP(J434,'Inadimplencia - FEV 2025'!$A$5:$E$85,4,0),"0")</f>
        <v>0</v>
      </c>
      <c r="L434" s="6" t="str">
        <f>IFERROR(VLOOKUP(J434,'Inadimplencia - Out 2025'!$A$5:$E$85,4,0),"0")</f>
        <v>0</v>
      </c>
      <c r="M434" s="31">
        <f t="shared" si="16"/>
        <v>0</v>
      </c>
      <c r="N434" s="5"/>
    </row>
    <row r="435" spans="1:14" x14ac:dyDescent="0.25">
      <c r="A435" s="38"/>
      <c r="B435" s="16" t="s">
        <v>910</v>
      </c>
      <c r="C435" s="17" t="s">
        <v>863</v>
      </c>
      <c r="D435" s="17" t="s">
        <v>767</v>
      </c>
      <c r="E435" s="18">
        <v>53</v>
      </c>
      <c r="F435" s="18">
        <v>2</v>
      </c>
      <c r="G435" s="17" t="s">
        <v>118</v>
      </c>
      <c r="H435" s="18">
        <v>8</v>
      </c>
      <c r="I435" s="19"/>
      <c r="J435" s="4" t="str">
        <f t="shared" si="18"/>
        <v>OR053</v>
      </c>
      <c r="K435" s="6" t="str">
        <f>IFERROR(VLOOKUP(J435,'Inadimplencia - FEV 2025'!$A$5:$E$85,4,0),"0")</f>
        <v>0</v>
      </c>
      <c r="L435" s="6" t="str">
        <f>IFERROR(VLOOKUP(J435,'Inadimplencia - Out 2025'!$A$5:$E$85,4,0),"0")</f>
        <v>0</v>
      </c>
      <c r="M435" s="31">
        <f t="shared" si="16"/>
        <v>0</v>
      </c>
      <c r="N435" s="5"/>
    </row>
    <row r="436" spans="1:14" x14ac:dyDescent="0.25">
      <c r="A436" s="38"/>
      <c r="B436" s="26" t="s">
        <v>912</v>
      </c>
      <c r="C436" s="17" t="s">
        <v>865</v>
      </c>
      <c r="D436" s="17" t="s">
        <v>767</v>
      </c>
      <c r="E436" s="18">
        <v>54</v>
      </c>
      <c r="F436" s="18">
        <v>2</v>
      </c>
      <c r="G436" s="17" t="s">
        <v>118</v>
      </c>
      <c r="H436" s="18">
        <v>8</v>
      </c>
      <c r="I436" s="19"/>
      <c r="J436" s="4" t="str">
        <f t="shared" si="18"/>
        <v>OR054</v>
      </c>
      <c r="K436" s="6" t="str">
        <f>IFERROR(VLOOKUP(J436,'Inadimplencia - FEV 2025'!$A$5:$E$85,4,0),"0")</f>
        <v>0</v>
      </c>
      <c r="L436" s="6" t="str">
        <f>IFERROR(VLOOKUP(J436,'Inadimplencia - Out 2025'!$A$5:$E$85,4,0),"0")</f>
        <v>0</v>
      </c>
      <c r="M436" s="31">
        <f t="shared" si="16"/>
        <v>0</v>
      </c>
      <c r="N436" s="5"/>
    </row>
    <row r="437" spans="1:14" x14ac:dyDescent="0.25">
      <c r="A437" s="38"/>
      <c r="B437" s="26" t="s">
        <v>914</v>
      </c>
      <c r="C437" s="17" t="s">
        <v>867</v>
      </c>
      <c r="D437" s="17" t="s">
        <v>767</v>
      </c>
      <c r="E437" s="18">
        <v>55</v>
      </c>
      <c r="F437" s="18">
        <v>2</v>
      </c>
      <c r="G437" s="17" t="s">
        <v>118</v>
      </c>
      <c r="H437" s="18">
        <v>8</v>
      </c>
      <c r="I437" s="19"/>
      <c r="J437" s="4" t="str">
        <f t="shared" si="18"/>
        <v>OR055</v>
      </c>
      <c r="K437" s="6" t="str">
        <f>IFERROR(VLOOKUP(J437,'Inadimplencia - FEV 2025'!$A$5:$E$85,4,0),"0")</f>
        <v>0</v>
      </c>
      <c r="L437" s="6" t="str">
        <f>IFERROR(VLOOKUP(J437,'Inadimplencia - Out 2025'!$A$5:$E$85,4,0),"0")</f>
        <v>0</v>
      </c>
      <c r="M437" s="31">
        <f t="shared" si="16"/>
        <v>0</v>
      </c>
      <c r="N437" s="5"/>
    </row>
    <row r="438" spans="1:14" x14ac:dyDescent="0.25">
      <c r="A438" s="38"/>
      <c r="B438" s="26" t="s">
        <v>916</v>
      </c>
      <c r="C438" s="27" t="s">
        <v>869</v>
      </c>
      <c r="D438" s="27" t="s">
        <v>767</v>
      </c>
      <c r="E438" s="28">
        <v>56</v>
      </c>
      <c r="F438" s="28">
        <v>2</v>
      </c>
      <c r="G438" s="27" t="s">
        <v>118</v>
      </c>
      <c r="H438" s="28">
        <v>8</v>
      </c>
      <c r="I438" s="19"/>
      <c r="J438" s="4" t="str">
        <f t="shared" si="18"/>
        <v>OR056</v>
      </c>
      <c r="K438" s="6" t="str">
        <f>IFERROR(VLOOKUP(J438,'Inadimplencia - FEV 2025'!$A$5:$E$85,4,0),"0")</f>
        <v>0</v>
      </c>
      <c r="L438" s="6" t="str">
        <f>IFERROR(VLOOKUP(J438,'Inadimplencia - Out 2025'!$A$5:$E$85,4,0),"0")</f>
        <v>0</v>
      </c>
      <c r="M438" s="31">
        <f t="shared" si="16"/>
        <v>0</v>
      </c>
      <c r="N438" s="5"/>
    </row>
    <row r="439" spans="1:14" x14ac:dyDescent="0.25">
      <c r="A439" s="38"/>
      <c r="B439" s="26" t="s">
        <v>918</v>
      </c>
      <c r="C439" s="27" t="s">
        <v>871</v>
      </c>
      <c r="D439" s="27" t="s">
        <v>767</v>
      </c>
      <c r="E439" s="28">
        <v>58</v>
      </c>
      <c r="F439" s="28">
        <v>2</v>
      </c>
      <c r="G439" s="27" t="s">
        <v>118</v>
      </c>
      <c r="H439" s="28">
        <v>8</v>
      </c>
      <c r="I439" s="19"/>
      <c r="J439" s="4" t="str">
        <f t="shared" si="18"/>
        <v>OR058</v>
      </c>
      <c r="K439" s="6" t="str">
        <f>IFERROR(VLOOKUP(J439,'Inadimplencia - FEV 2025'!$A$5:$E$85,4,0),"0")</f>
        <v>0</v>
      </c>
      <c r="L439" s="6" t="str">
        <f>IFERROR(VLOOKUP(J439,'Inadimplencia - Out 2025'!$A$5:$E$85,4,0),"0")</f>
        <v>0</v>
      </c>
      <c r="M439" s="31">
        <f t="shared" si="16"/>
        <v>0</v>
      </c>
      <c r="N439" s="5"/>
    </row>
    <row r="440" spans="1:14" ht="25.5" x14ac:dyDescent="0.25">
      <c r="A440" s="38"/>
      <c r="B440" s="16" t="s">
        <v>920</v>
      </c>
      <c r="C440" s="27" t="s">
        <v>873</v>
      </c>
      <c r="D440" s="27" t="s">
        <v>767</v>
      </c>
      <c r="E440" s="28">
        <v>59</v>
      </c>
      <c r="F440" s="28">
        <v>2</v>
      </c>
      <c r="G440" s="27" t="s">
        <v>118</v>
      </c>
      <c r="H440" s="28">
        <v>8</v>
      </c>
      <c r="I440" s="19"/>
      <c r="J440" s="4" t="str">
        <f t="shared" si="18"/>
        <v>OR059</v>
      </c>
      <c r="K440" s="6" t="str">
        <f>IFERROR(VLOOKUP(J440,'Inadimplencia - FEV 2025'!$A$5:$E$85,4,0),"0")</f>
        <v>0</v>
      </c>
      <c r="L440" s="6" t="str">
        <f>IFERROR(VLOOKUP(J440,'Inadimplencia - Out 2025'!$A$5:$E$85,4,0),"0")</f>
        <v>0</v>
      </c>
      <c r="M440" s="31">
        <f t="shared" si="16"/>
        <v>0</v>
      </c>
      <c r="N440" s="5"/>
    </row>
    <row r="441" spans="1:14" x14ac:dyDescent="0.25">
      <c r="A441" s="38"/>
      <c r="B441" s="26" t="s">
        <v>922</v>
      </c>
      <c r="C441" s="27" t="s">
        <v>877</v>
      </c>
      <c r="D441" s="27" t="s">
        <v>767</v>
      </c>
      <c r="E441" s="28">
        <v>61</v>
      </c>
      <c r="F441" s="28">
        <v>2</v>
      </c>
      <c r="G441" s="27" t="s">
        <v>118</v>
      </c>
      <c r="H441" s="28">
        <v>8</v>
      </c>
      <c r="I441" s="19"/>
      <c r="J441" s="4" t="str">
        <f t="shared" si="18"/>
        <v>OR061</v>
      </c>
      <c r="K441" s="6" t="str">
        <f>IFERROR(VLOOKUP(J441,'Inadimplencia - FEV 2025'!$A$5:$E$85,4,0),"0")</f>
        <v>0</v>
      </c>
      <c r="L441" s="6" t="str">
        <f>IFERROR(VLOOKUP(J441,'Inadimplencia - Out 2025'!$A$5:$E$85,4,0),"0")</f>
        <v>0</v>
      </c>
      <c r="M441" s="31">
        <f t="shared" si="16"/>
        <v>0</v>
      </c>
      <c r="N441" s="5"/>
    </row>
    <row r="442" spans="1:14" x14ac:dyDescent="0.25">
      <c r="A442" s="38"/>
      <c r="B442" s="26" t="s">
        <v>359</v>
      </c>
      <c r="C442" s="27" t="s">
        <v>879</v>
      </c>
      <c r="D442" s="27" t="s">
        <v>767</v>
      </c>
      <c r="E442" s="28">
        <v>62</v>
      </c>
      <c r="F442" s="28">
        <v>2</v>
      </c>
      <c r="G442" s="27" t="s">
        <v>118</v>
      </c>
      <c r="H442" s="28">
        <v>8</v>
      </c>
      <c r="I442" s="19"/>
      <c r="J442" s="4" t="str">
        <f t="shared" si="18"/>
        <v>OR062</v>
      </c>
      <c r="K442" s="6" t="str">
        <f>IFERROR(VLOOKUP(J442,'Inadimplencia - FEV 2025'!$A$5:$E$85,4,0),"0")</f>
        <v>0</v>
      </c>
      <c r="L442" s="6" t="str">
        <f>IFERROR(VLOOKUP(J442,'Inadimplencia - Out 2025'!$A$5:$E$85,4,0),"0")</f>
        <v>0</v>
      </c>
      <c r="M442" s="31">
        <f t="shared" si="16"/>
        <v>0</v>
      </c>
      <c r="N442" s="5"/>
    </row>
    <row r="443" spans="1:14" x14ac:dyDescent="0.25">
      <c r="A443" s="38"/>
      <c r="B443" s="16" t="s">
        <v>924</v>
      </c>
      <c r="C443" s="27" t="s">
        <v>881</v>
      </c>
      <c r="D443" s="27" t="s">
        <v>767</v>
      </c>
      <c r="E443" s="28">
        <v>63</v>
      </c>
      <c r="F443" s="28">
        <v>2</v>
      </c>
      <c r="G443" s="27" t="s">
        <v>118</v>
      </c>
      <c r="H443" s="28">
        <v>8</v>
      </c>
      <c r="I443" s="19"/>
      <c r="J443" s="4" t="str">
        <f t="shared" si="18"/>
        <v>OR063</v>
      </c>
      <c r="K443" s="6" t="str">
        <f>IFERROR(VLOOKUP(J443,'Inadimplencia - FEV 2025'!$A$5:$E$85,4,0),"0")</f>
        <v>0</v>
      </c>
      <c r="L443" s="6" t="str">
        <f>IFERROR(VLOOKUP(J443,'Inadimplencia - Out 2025'!$A$5:$E$85,4,0),"0")</f>
        <v>0</v>
      </c>
      <c r="M443" s="31">
        <f t="shared" si="16"/>
        <v>0</v>
      </c>
      <c r="N443" s="5"/>
    </row>
    <row r="444" spans="1:14" x14ac:dyDescent="0.25">
      <c r="A444" s="38"/>
      <c r="B444" s="16" t="s">
        <v>926</v>
      </c>
      <c r="C444" s="27" t="s">
        <v>883</v>
      </c>
      <c r="D444" s="27" t="s">
        <v>767</v>
      </c>
      <c r="E444" s="28">
        <v>64</v>
      </c>
      <c r="F444" s="28">
        <v>2</v>
      </c>
      <c r="G444" s="27" t="s">
        <v>118</v>
      </c>
      <c r="H444" s="28">
        <v>8</v>
      </c>
      <c r="I444" s="19"/>
      <c r="J444" s="4" t="str">
        <f t="shared" si="18"/>
        <v>OR064</v>
      </c>
      <c r="K444" s="6" t="str">
        <f>IFERROR(VLOOKUP(J444,'Inadimplencia - FEV 2025'!$A$5:$E$85,4,0),"0")</f>
        <v>0</v>
      </c>
      <c r="L444" s="6" t="str">
        <f>IFERROR(VLOOKUP(J444,'Inadimplencia - Out 2025'!$A$5:$E$85,4,0),"0")</f>
        <v>0</v>
      </c>
      <c r="M444" s="31">
        <f t="shared" si="16"/>
        <v>0</v>
      </c>
      <c r="N444" s="5"/>
    </row>
    <row r="445" spans="1:14" x14ac:dyDescent="0.25">
      <c r="A445" s="38"/>
      <c r="B445" s="16" t="s">
        <v>928</v>
      </c>
      <c r="C445" s="27" t="s">
        <v>885</v>
      </c>
      <c r="D445" s="27" t="s">
        <v>767</v>
      </c>
      <c r="E445" s="28">
        <v>65</v>
      </c>
      <c r="F445" s="28">
        <v>2</v>
      </c>
      <c r="G445" s="27" t="s">
        <v>118</v>
      </c>
      <c r="H445" s="28">
        <v>8</v>
      </c>
      <c r="I445" s="19"/>
      <c r="J445" s="4" t="str">
        <f t="shared" si="18"/>
        <v>OR065</v>
      </c>
      <c r="K445" s="6" t="str">
        <f>IFERROR(VLOOKUP(J445,'Inadimplencia - FEV 2025'!$A$5:$E$85,4,0),"0")</f>
        <v>0</v>
      </c>
      <c r="L445" s="6" t="str">
        <f>IFERROR(VLOOKUP(J445,'Inadimplencia - Out 2025'!$A$5:$E$85,4,0),"0")</f>
        <v>0</v>
      </c>
      <c r="M445" s="31">
        <f t="shared" si="16"/>
        <v>0</v>
      </c>
      <c r="N445" s="5"/>
    </row>
    <row r="446" spans="1:14" x14ac:dyDescent="0.25">
      <c r="A446" s="38"/>
      <c r="B446" s="16" t="s">
        <v>930</v>
      </c>
      <c r="C446" s="27" t="s">
        <v>887</v>
      </c>
      <c r="D446" s="27" t="s">
        <v>767</v>
      </c>
      <c r="E446" s="28">
        <v>66</v>
      </c>
      <c r="F446" s="28">
        <v>2</v>
      </c>
      <c r="G446" s="27" t="s">
        <v>118</v>
      </c>
      <c r="H446" s="28">
        <v>8</v>
      </c>
      <c r="I446" s="19"/>
      <c r="J446" s="4" t="str">
        <f t="shared" si="18"/>
        <v>OR066</v>
      </c>
      <c r="K446" s="6" t="str">
        <f>IFERROR(VLOOKUP(J446,'Inadimplencia - FEV 2025'!$A$5:$E$85,4,0),"0")</f>
        <v>0</v>
      </c>
      <c r="L446" s="6" t="str">
        <f>IFERROR(VLOOKUP(J446,'Inadimplencia - Out 2025'!$A$5:$E$85,4,0),"0")</f>
        <v>0</v>
      </c>
      <c r="M446" s="31">
        <f t="shared" si="16"/>
        <v>0</v>
      </c>
      <c r="N446" s="5"/>
    </row>
    <row r="447" spans="1:14" x14ac:dyDescent="0.25">
      <c r="A447" s="38"/>
      <c r="B447" s="26" t="s">
        <v>932</v>
      </c>
      <c r="C447" s="17" t="s">
        <v>889</v>
      </c>
      <c r="D447" s="17" t="s">
        <v>767</v>
      </c>
      <c r="E447" s="18">
        <v>67</v>
      </c>
      <c r="F447" s="18">
        <v>2</v>
      </c>
      <c r="G447" s="17" t="s">
        <v>118</v>
      </c>
      <c r="H447" s="18">
        <v>8</v>
      </c>
      <c r="I447" s="19"/>
      <c r="J447" s="4" t="str">
        <f t="shared" si="18"/>
        <v>OR067</v>
      </c>
      <c r="K447" s="6" t="str">
        <f>IFERROR(VLOOKUP(J447,'Inadimplencia - FEV 2025'!$A$5:$E$85,4,0),"0")</f>
        <v>0</v>
      </c>
      <c r="L447" s="6" t="str">
        <f>IFERROR(VLOOKUP(J447,'Inadimplencia - Out 2025'!$A$5:$E$85,4,0),"0")</f>
        <v>0</v>
      </c>
      <c r="M447" s="31">
        <f t="shared" si="16"/>
        <v>0</v>
      </c>
      <c r="N447" s="5"/>
    </row>
    <row r="448" spans="1:14" ht="25.5" x14ac:dyDescent="0.25">
      <c r="A448" s="38"/>
      <c r="B448" s="16" t="s">
        <v>934</v>
      </c>
      <c r="C448" s="17" t="s">
        <v>891</v>
      </c>
      <c r="D448" s="17" t="s">
        <v>767</v>
      </c>
      <c r="E448" s="18">
        <v>68</v>
      </c>
      <c r="F448" s="18">
        <v>2</v>
      </c>
      <c r="G448" s="17" t="s">
        <v>118</v>
      </c>
      <c r="H448" s="18">
        <v>8</v>
      </c>
      <c r="I448" s="19"/>
      <c r="J448" s="4" t="str">
        <f t="shared" si="18"/>
        <v>OR068</v>
      </c>
      <c r="K448" s="6" t="str">
        <f>IFERROR(VLOOKUP(J448,'Inadimplencia - FEV 2025'!$A$5:$E$85,4,0),"0")</f>
        <v>0</v>
      </c>
      <c r="L448" s="6" t="str">
        <f>IFERROR(VLOOKUP(J448,'Inadimplencia - Out 2025'!$A$5:$E$85,4,0),"0")</f>
        <v>0</v>
      </c>
      <c r="M448" s="31">
        <f t="shared" si="16"/>
        <v>0</v>
      </c>
      <c r="N448" s="5"/>
    </row>
    <row r="449" spans="1:14" x14ac:dyDescent="0.25">
      <c r="A449" s="38"/>
      <c r="B449" s="26" t="s">
        <v>429</v>
      </c>
      <c r="C449" s="27" t="s">
        <v>893</v>
      </c>
      <c r="D449" s="27" t="s">
        <v>767</v>
      </c>
      <c r="E449" s="28">
        <v>69</v>
      </c>
      <c r="F449" s="28">
        <v>2</v>
      </c>
      <c r="G449" s="27" t="s">
        <v>118</v>
      </c>
      <c r="H449" s="28">
        <v>8</v>
      </c>
      <c r="I449" s="19"/>
      <c r="J449" s="4" t="str">
        <f t="shared" si="18"/>
        <v>OR069</v>
      </c>
      <c r="K449" s="6" t="str">
        <f>IFERROR(VLOOKUP(J449,'Inadimplencia - FEV 2025'!$A$5:$E$85,4,0),"0")</f>
        <v>0</v>
      </c>
      <c r="L449" s="6" t="str">
        <f>IFERROR(VLOOKUP(J449,'Inadimplencia - Out 2025'!$A$5:$E$85,4,0),"0")</f>
        <v>0</v>
      </c>
      <c r="M449" s="31">
        <f t="shared" si="16"/>
        <v>0</v>
      </c>
      <c r="N449" s="5"/>
    </row>
    <row r="450" spans="1:14" x14ac:dyDescent="0.25">
      <c r="A450" s="38"/>
      <c r="B450" s="16" t="s">
        <v>936</v>
      </c>
      <c r="C450" s="17" t="s">
        <v>895</v>
      </c>
      <c r="D450" s="17" t="s">
        <v>767</v>
      </c>
      <c r="E450" s="18">
        <v>70</v>
      </c>
      <c r="F450" s="18">
        <v>2</v>
      </c>
      <c r="G450" s="17" t="s">
        <v>118</v>
      </c>
      <c r="H450" s="18">
        <v>8</v>
      </c>
      <c r="I450" s="19"/>
      <c r="J450" s="4" t="str">
        <f t="shared" si="18"/>
        <v>OR070</v>
      </c>
      <c r="K450" s="6" t="str">
        <f>IFERROR(VLOOKUP(J450,'Inadimplencia - FEV 2025'!$A$5:$E$85,4,0),"0")</f>
        <v>0</v>
      </c>
      <c r="L450" s="6" t="str">
        <f>IFERROR(VLOOKUP(J450,'Inadimplencia - Out 2025'!$A$5:$E$85,4,0),"0")</f>
        <v>0</v>
      </c>
      <c r="M450" s="31">
        <f t="shared" si="16"/>
        <v>0</v>
      </c>
      <c r="N450" s="5"/>
    </row>
    <row r="451" spans="1:14" x14ac:dyDescent="0.25">
      <c r="A451" s="38"/>
      <c r="B451" s="26" t="s">
        <v>938</v>
      </c>
      <c r="C451" s="27" t="s">
        <v>899</v>
      </c>
      <c r="D451" s="27" t="s">
        <v>767</v>
      </c>
      <c r="E451" s="28">
        <v>72</v>
      </c>
      <c r="F451" s="28">
        <v>2</v>
      </c>
      <c r="G451" s="27" t="s">
        <v>118</v>
      </c>
      <c r="H451" s="28">
        <v>8</v>
      </c>
      <c r="I451" s="19"/>
      <c r="J451" s="4" t="str">
        <f t="shared" si="18"/>
        <v>OR072</v>
      </c>
      <c r="K451" s="6" t="str">
        <f>IFERROR(VLOOKUP(J451,'Inadimplencia - FEV 2025'!$A$5:$E$85,4,0),"0")</f>
        <v>0</v>
      </c>
      <c r="L451" s="6" t="str">
        <f>IFERROR(VLOOKUP(J451,'Inadimplencia - Out 2025'!$A$5:$E$85,4,0),"0")</f>
        <v>0</v>
      </c>
      <c r="M451" s="31">
        <f t="shared" si="16"/>
        <v>0</v>
      </c>
      <c r="N451" s="5"/>
    </row>
    <row r="452" spans="1:14" x14ac:dyDescent="0.25">
      <c r="A452" s="38"/>
      <c r="B452" s="26" t="s">
        <v>939</v>
      </c>
      <c r="C452" s="17" t="s">
        <v>901</v>
      </c>
      <c r="D452" s="17" t="s">
        <v>767</v>
      </c>
      <c r="E452" s="18">
        <v>73</v>
      </c>
      <c r="F452" s="18">
        <v>2</v>
      </c>
      <c r="G452" s="17" t="s">
        <v>118</v>
      </c>
      <c r="H452" s="18">
        <v>8</v>
      </c>
      <c r="I452" s="19"/>
      <c r="J452" s="4" t="str">
        <f t="shared" si="18"/>
        <v>OR073</v>
      </c>
      <c r="K452" s="6" t="str">
        <f>IFERROR(VLOOKUP(J452,'Inadimplencia - FEV 2025'!$A$5:$E$85,4,0),"0")</f>
        <v>0</v>
      </c>
      <c r="L452" s="6" t="str">
        <f>IFERROR(VLOOKUP(J452,'Inadimplencia - Out 2025'!$A$5:$E$85,4,0),"0")</f>
        <v>0</v>
      </c>
      <c r="M452" s="31">
        <f t="shared" si="16"/>
        <v>0</v>
      </c>
      <c r="N452" s="5"/>
    </row>
    <row r="453" spans="1:14" x14ac:dyDescent="0.25">
      <c r="A453" s="38"/>
      <c r="B453" s="26" t="s">
        <v>941</v>
      </c>
      <c r="C453" s="27" t="s">
        <v>903</v>
      </c>
      <c r="D453" s="27" t="s">
        <v>767</v>
      </c>
      <c r="E453" s="28">
        <v>74</v>
      </c>
      <c r="F453" s="28">
        <v>2</v>
      </c>
      <c r="G453" s="27" t="s">
        <v>118</v>
      </c>
      <c r="H453" s="28">
        <v>8</v>
      </c>
      <c r="I453" s="19"/>
      <c r="J453" s="4" t="str">
        <f t="shared" si="18"/>
        <v>OR074</v>
      </c>
      <c r="K453" s="6" t="str">
        <f>IFERROR(VLOOKUP(J453,'Inadimplencia - FEV 2025'!$A$5:$E$85,4,0),"0")</f>
        <v>0</v>
      </c>
      <c r="L453" s="6" t="str">
        <f>IFERROR(VLOOKUP(J453,'Inadimplencia - Out 2025'!$A$5:$E$85,4,0),"0")</f>
        <v>0</v>
      </c>
      <c r="M453" s="31">
        <f t="shared" si="16"/>
        <v>0</v>
      </c>
      <c r="N453" s="5"/>
    </row>
    <row r="454" spans="1:14" x14ac:dyDescent="0.25">
      <c r="A454" s="38"/>
      <c r="B454" s="16" t="s">
        <v>943</v>
      </c>
      <c r="C454" s="17" t="s">
        <v>905</v>
      </c>
      <c r="D454" s="17" t="s">
        <v>767</v>
      </c>
      <c r="E454" s="18">
        <v>75</v>
      </c>
      <c r="F454" s="18">
        <v>2</v>
      </c>
      <c r="G454" s="17" t="s">
        <v>118</v>
      </c>
      <c r="H454" s="18">
        <v>8</v>
      </c>
      <c r="I454" s="19"/>
      <c r="J454" s="4" t="str">
        <f t="shared" si="18"/>
        <v>OR075</v>
      </c>
      <c r="K454" s="6" t="str">
        <f>IFERROR(VLOOKUP(J454,'Inadimplencia - FEV 2025'!$A$5:$E$85,4,0),"0")</f>
        <v>0</v>
      </c>
      <c r="L454" s="6" t="str">
        <f>IFERROR(VLOOKUP(J454,'Inadimplencia - Out 2025'!$A$5:$E$85,4,0),"0")</f>
        <v>0</v>
      </c>
      <c r="M454" s="31">
        <f t="shared" si="16"/>
        <v>0</v>
      </c>
      <c r="N454" s="5"/>
    </row>
    <row r="455" spans="1:14" x14ac:dyDescent="0.25">
      <c r="A455" s="38"/>
      <c r="B455" s="16" t="s">
        <v>945</v>
      </c>
      <c r="C455" s="27" t="s">
        <v>907</v>
      </c>
      <c r="D455" s="27" t="s">
        <v>767</v>
      </c>
      <c r="E455" s="28">
        <v>76</v>
      </c>
      <c r="F455" s="28">
        <v>2</v>
      </c>
      <c r="G455" s="27" t="s">
        <v>118</v>
      </c>
      <c r="H455" s="28">
        <v>8</v>
      </c>
      <c r="I455" s="19"/>
      <c r="J455" s="4" t="str">
        <f t="shared" si="18"/>
        <v>OR076</v>
      </c>
      <c r="K455" s="6" t="str">
        <f>IFERROR(VLOOKUP(J455,'Inadimplencia - FEV 2025'!$A$5:$E$85,4,0),"0")</f>
        <v>0</v>
      </c>
      <c r="L455" s="6" t="str">
        <f>IFERROR(VLOOKUP(J455,'Inadimplencia - Out 2025'!$A$5:$E$85,4,0),"0")</f>
        <v>0</v>
      </c>
      <c r="M455" s="31">
        <f t="shared" ref="M455:M518" si="19">L455-K455</f>
        <v>0</v>
      </c>
      <c r="N455" s="5"/>
    </row>
    <row r="456" spans="1:14" x14ac:dyDescent="0.25">
      <c r="A456" s="38"/>
      <c r="B456" s="26" t="s">
        <v>947</v>
      </c>
      <c r="C456" s="27" t="s">
        <v>909</v>
      </c>
      <c r="D456" s="27" t="s">
        <v>767</v>
      </c>
      <c r="E456" s="28">
        <v>77</v>
      </c>
      <c r="F456" s="28">
        <v>2</v>
      </c>
      <c r="G456" s="27" t="s">
        <v>118</v>
      </c>
      <c r="H456" s="28">
        <v>8</v>
      </c>
      <c r="I456" s="19"/>
      <c r="J456" s="4" t="str">
        <f t="shared" si="18"/>
        <v>OR077</v>
      </c>
      <c r="K456" s="6" t="str">
        <f>IFERROR(VLOOKUP(J456,'Inadimplencia - FEV 2025'!$A$5:$E$85,4,0),"0")</f>
        <v>0</v>
      </c>
      <c r="L456" s="6" t="str">
        <f>IFERROR(VLOOKUP(J456,'Inadimplencia - Out 2025'!$A$5:$E$85,4,0),"0")</f>
        <v>0</v>
      </c>
      <c r="M456" s="31">
        <f t="shared" si="19"/>
        <v>0</v>
      </c>
      <c r="N456" s="5"/>
    </row>
    <row r="457" spans="1:14" x14ac:dyDescent="0.25">
      <c r="A457" s="38"/>
      <c r="B457" s="20" t="s">
        <v>949</v>
      </c>
      <c r="C457" s="17" t="s">
        <v>911</v>
      </c>
      <c r="D457" s="17" t="s">
        <v>767</v>
      </c>
      <c r="E457" s="18">
        <v>78</v>
      </c>
      <c r="F457" s="18">
        <v>2</v>
      </c>
      <c r="G457" s="17" t="s">
        <v>118</v>
      </c>
      <c r="H457" s="18">
        <v>8</v>
      </c>
      <c r="I457" s="19"/>
      <c r="J457" s="4" t="str">
        <f t="shared" si="18"/>
        <v>OR078</v>
      </c>
      <c r="K457" s="6" t="str">
        <f>IFERROR(VLOOKUP(J457,'Inadimplencia - FEV 2025'!$A$5:$E$85,4,0),"0")</f>
        <v>0</v>
      </c>
      <c r="L457" s="6" t="str">
        <f>IFERROR(VLOOKUP(J457,'Inadimplencia - Out 2025'!$A$5:$E$85,4,0),"0")</f>
        <v>0</v>
      </c>
      <c r="M457" s="31">
        <f t="shared" si="19"/>
        <v>0</v>
      </c>
      <c r="N457" s="5"/>
    </row>
    <row r="458" spans="1:14" x14ac:dyDescent="0.25">
      <c r="A458" s="38"/>
      <c r="B458" s="16" t="s">
        <v>952</v>
      </c>
      <c r="C458" s="27" t="s">
        <v>913</v>
      </c>
      <c r="D458" s="27" t="s">
        <v>767</v>
      </c>
      <c r="E458" s="28">
        <v>79</v>
      </c>
      <c r="F458" s="28">
        <v>2</v>
      </c>
      <c r="G458" s="27" t="s">
        <v>118</v>
      </c>
      <c r="H458" s="28">
        <v>8</v>
      </c>
      <c r="I458" s="19"/>
      <c r="J458" s="4" t="str">
        <f t="shared" ref="J458:J475" si="20">"OR" &amp; TEXT(E458, "000")</f>
        <v>OR079</v>
      </c>
      <c r="K458" s="6" t="str">
        <f>IFERROR(VLOOKUP(J458,'Inadimplencia - FEV 2025'!$A$5:$E$85,4,0),"0")</f>
        <v>0</v>
      </c>
      <c r="L458" s="6" t="str">
        <f>IFERROR(VLOOKUP(J458,'Inadimplencia - Out 2025'!$A$5:$E$85,4,0),"0")</f>
        <v>0</v>
      </c>
      <c r="M458" s="31">
        <f t="shared" si="19"/>
        <v>0</v>
      </c>
      <c r="N458" s="5"/>
    </row>
    <row r="459" spans="1:14" x14ac:dyDescent="0.25">
      <c r="A459" s="38"/>
      <c r="B459" s="16" t="s">
        <v>954</v>
      </c>
      <c r="C459" s="27" t="s">
        <v>915</v>
      </c>
      <c r="D459" s="27" t="s">
        <v>767</v>
      </c>
      <c r="E459" s="28">
        <v>80</v>
      </c>
      <c r="F459" s="28">
        <v>2</v>
      </c>
      <c r="G459" s="27" t="s">
        <v>118</v>
      </c>
      <c r="H459" s="28">
        <v>8</v>
      </c>
      <c r="I459" s="19"/>
      <c r="J459" s="4" t="str">
        <f t="shared" si="20"/>
        <v>OR080</v>
      </c>
      <c r="K459" s="6" t="str">
        <f>IFERROR(VLOOKUP(J459,'Inadimplencia - FEV 2025'!$A$5:$E$85,4,0),"0")</f>
        <v>0</v>
      </c>
      <c r="L459" s="6" t="str">
        <f>IFERROR(VLOOKUP(J459,'Inadimplencia - Out 2025'!$A$5:$E$85,4,0),"0")</f>
        <v>0</v>
      </c>
      <c r="M459" s="31">
        <f t="shared" si="19"/>
        <v>0</v>
      </c>
      <c r="N459" s="5"/>
    </row>
    <row r="460" spans="1:14" x14ac:dyDescent="0.25">
      <c r="A460" s="38"/>
      <c r="B460" s="20" t="s">
        <v>956</v>
      </c>
      <c r="C460" s="27" t="s">
        <v>917</v>
      </c>
      <c r="D460" s="27" t="s">
        <v>767</v>
      </c>
      <c r="E460" s="28">
        <v>81</v>
      </c>
      <c r="F460" s="28">
        <v>2</v>
      </c>
      <c r="G460" s="27" t="s">
        <v>118</v>
      </c>
      <c r="H460" s="28">
        <v>8</v>
      </c>
      <c r="I460" s="19"/>
      <c r="J460" s="4" t="str">
        <f t="shared" si="20"/>
        <v>OR081</v>
      </c>
      <c r="K460" s="6" t="str">
        <f>IFERROR(VLOOKUP(J460,'Inadimplencia - FEV 2025'!$A$5:$E$85,4,0),"0")</f>
        <v>0</v>
      </c>
      <c r="L460" s="6" t="str">
        <f>IFERROR(VLOOKUP(J460,'Inadimplencia - Out 2025'!$A$5:$E$85,4,0),"0")</f>
        <v>0</v>
      </c>
      <c r="M460" s="31">
        <f t="shared" si="19"/>
        <v>0</v>
      </c>
      <c r="N460" s="5"/>
    </row>
    <row r="461" spans="1:14" x14ac:dyDescent="0.25">
      <c r="A461" s="38"/>
      <c r="B461" s="20" t="s">
        <v>958</v>
      </c>
      <c r="C461" s="27" t="s">
        <v>919</v>
      </c>
      <c r="D461" s="27" t="s">
        <v>767</v>
      </c>
      <c r="E461" s="28">
        <v>82</v>
      </c>
      <c r="F461" s="28">
        <v>2</v>
      </c>
      <c r="G461" s="27" t="s">
        <v>118</v>
      </c>
      <c r="H461" s="28">
        <v>8</v>
      </c>
      <c r="I461" s="19"/>
      <c r="J461" s="4" t="str">
        <f t="shared" si="20"/>
        <v>OR082</v>
      </c>
      <c r="K461" s="6" t="str">
        <f>IFERROR(VLOOKUP(J461,'Inadimplencia - FEV 2025'!$A$5:$E$85,4,0),"0")</f>
        <v>0</v>
      </c>
      <c r="L461" s="6" t="str">
        <f>IFERROR(VLOOKUP(J461,'Inadimplencia - Out 2025'!$A$5:$E$85,4,0),"0")</f>
        <v>0</v>
      </c>
      <c r="M461" s="31">
        <f t="shared" si="19"/>
        <v>0</v>
      </c>
      <c r="N461" s="5"/>
    </row>
    <row r="462" spans="1:14" x14ac:dyDescent="0.25">
      <c r="A462" s="38"/>
      <c r="B462" s="20" t="s">
        <v>960</v>
      </c>
      <c r="C462" s="17" t="s">
        <v>921</v>
      </c>
      <c r="D462" s="17" t="s">
        <v>767</v>
      </c>
      <c r="E462" s="18">
        <v>83</v>
      </c>
      <c r="F462" s="18">
        <v>2</v>
      </c>
      <c r="G462" s="17" t="s">
        <v>118</v>
      </c>
      <c r="H462" s="18">
        <v>8</v>
      </c>
      <c r="I462" s="19"/>
      <c r="J462" s="4" t="str">
        <f t="shared" si="20"/>
        <v>OR083</v>
      </c>
      <c r="K462" s="6" t="str">
        <f>IFERROR(VLOOKUP(J462,'Inadimplencia - FEV 2025'!$A$5:$E$85,4,0),"0")</f>
        <v>0</v>
      </c>
      <c r="L462" s="6" t="str">
        <f>IFERROR(VLOOKUP(J462,'Inadimplencia - Out 2025'!$A$5:$E$85,4,0),"0")</f>
        <v>0</v>
      </c>
      <c r="M462" s="31">
        <f t="shared" si="19"/>
        <v>0</v>
      </c>
      <c r="N462" s="5"/>
    </row>
    <row r="463" spans="1:14" x14ac:dyDescent="0.25">
      <c r="A463" s="38"/>
      <c r="B463" s="20" t="s">
        <v>962</v>
      </c>
      <c r="C463" s="17" t="s">
        <v>927</v>
      </c>
      <c r="D463" s="17" t="s">
        <v>767</v>
      </c>
      <c r="E463" s="18">
        <v>87</v>
      </c>
      <c r="F463" s="18">
        <v>2</v>
      </c>
      <c r="G463" s="17" t="s">
        <v>118</v>
      </c>
      <c r="H463" s="18">
        <v>8</v>
      </c>
      <c r="I463" s="19"/>
      <c r="J463" s="4" t="str">
        <f t="shared" si="20"/>
        <v>OR087</v>
      </c>
      <c r="K463" s="6" t="str">
        <f>IFERROR(VLOOKUP(J463,'Inadimplencia - FEV 2025'!$A$5:$E$85,4,0),"0")</f>
        <v>0</v>
      </c>
      <c r="L463" s="6" t="str">
        <f>IFERROR(VLOOKUP(J463,'Inadimplencia - Out 2025'!$A$5:$E$85,4,0),"0")</f>
        <v>0</v>
      </c>
      <c r="M463" s="31">
        <f t="shared" si="19"/>
        <v>0</v>
      </c>
      <c r="N463" s="5"/>
    </row>
    <row r="464" spans="1:14" x14ac:dyDescent="0.25">
      <c r="A464" s="38"/>
      <c r="B464" s="20" t="s">
        <v>964</v>
      </c>
      <c r="C464" s="17" t="s">
        <v>929</v>
      </c>
      <c r="D464" s="17" t="s">
        <v>767</v>
      </c>
      <c r="E464" s="18">
        <v>88</v>
      </c>
      <c r="F464" s="18">
        <v>2</v>
      </c>
      <c r="G464" s="17" t="s">
        <v>118</v>
      </c>
      <c r="H464" s="18">
        <v>8</v>
      </c>
      <c r="I464" s="19"/>
      <c r="J464" s="4" t="str">
        <f t="shared" si="20"/>
        <v>OR088</v>
      </c>
      <c r="K464" s="6" t="str">
        <f>IFERROR(VLOOKUP(J464,'Inadimplencia - FEV 2025'!$A$5:$E$85,4,0),"0")</f>
        <v>0</v>
      </c>
      <c r="L464" s="6" t="str">
        <f>IFERROR(VLOOKUP(J464,'Inadimplencia - Out 2025'!$A$5:$E$85,4,0),"0")</f>
        <v>0</v>
      </c>
      <c r="M464" s="31">
        <f t="shared" si="19"/>
        <v>0</v>
      </c>
      <c r="N464" s="5"/>
    </row>
    <row r="465" spans="1:14" x14ac:dyDescent="0.25">
      <c r="A465" s="38"/>
      <c r="B465" s="20" t="s">
        <v>966</v>
      </c>
      <c r="C465" s="17" t="s">
        <v>931</v>
      </c>
      <c r="D465" s="17" t="s">
        <v>767</v>
      </c>
      <c r="E465" s="18">
        <v>89</v>
      </c>
      <c r="F465" s="18">
        <v>2</v>
      </c>
      <c r="G465" s="17" t="s">
        <v>118</v>
      </c>
      <c r="H465" s="18">
        <v>8</v>
      </c>
      <c r="I465" s="19"/>
      <c r="J465" s="4" t="str">
        <f t="shared" si="20"/>
        <v>OR089</v>
      </c>
      <c r="K465" s="6" t="str">
        <f>IFERROR(VLOOKUP(J465,'Inadimplencia - FEV 2025'!$A$5:$E$85,4,0),"0")</f>
        <v>0</v>
      </c>
      <c r="L465" s="6" t="str">
        <f>IFERROR(VLOOKUP(J465,'Inadimplencia - Out 2025'!$A$5:$E$85,4,0),"0")</f>
        <v>0</v>
      </c>
      <c r="M465" s="31">
        <f t="shared" si="19"/>
        <v>0</v>
      </c>
      <c r="N465" s="5"/>
    </row>
    <row r="466" spans="1:14" x14ac:dyDescent="0.25">
      <c r="A466" s="38"/>
      <c r="B466" s="16" t="s">
        <v>150</v>
      </c>
      <c r="C466" s="27" t="s">
        <v>933</v>
      </c>
      <c r="D466" s="27" t="s">
        <v>767</v>
      </c>
      <c r="E466" s="28">
        <v>90</v>
      </c>
      <c r="F466" s="28">
        <v>2</v>
      </c>
      <c r="G466" s="27" t="s">
        <v>118</v>
      </c>
      <c r="H466" s="28">
        <v>8</v>
      </c>
      <c r="I466" s="19"/>
      <c r="J466" s="4" t="str">
        <f t="shared" si="20"/>
        <v>OR090</v>
      </c>
      <c r="K466" s="6" t="str">
        <f>IFERROR(VLOOKUP(J466,'Inadimplencia - FEV 2025'!$A$5:$E$85,4,0),"0")</f>
        <v>0</v>
      </c>
      <c r="L466" s="6" t="str">
        <f>IFERROR(VLOOKUP(J466,'Inadimplencia - Out 2025'!$A$5:$E$85,4,0),"0")</f>
        <v>0</v>
      </c>
      <c r="M466" s="31">
        <f t="shared" si="19"/>
        <v>0</v>
      </c>
      <c r="N466" s="5"/>
    </row>
    <row r="467" spans="1:14" x14ac:dyDescent="0.25">
      <c r="A467" s="38"/>
      <c r="B467" s="16" t="s">
        <v>968</v>
      </c>
      <c r="C467" s="17" t="s">
        <v>935</v>
      </c>
      <c r="D467" s="17" t="s">
        <v>767</v>
      </c>
      <c r="E467" s="18">
        <v>91</v>
      </c>
      <c r="F467" s="18">
        <v>2</v>
      </c>
      <c r="G467" s="17" t="s">
        <v>118</v>
      </c>
      <c r="H467" s="18">
        <v>8</v>
      </c>
      <c r="I467" s="19"/>
      <c r="J467" s="4" t="str">
        <f t="shared" si="20"/>
        <v>OR091</v>
      </c>
      <c r="K467" s="6" t="str">
        <f>IFERROR(VLOOKUP(J467,'Inadimplencia - FEV 2025'!$A$5:$E$85,4,0),"0")</f>
        <v>0</v>
      </c>
      <c r="L467" s="6" t="str">
        <f>IFERROR(VLOOKUP(J467,'Inadimplencia - Out 2025'!$A$5:$E$85,4,0),"0")</f>
        <v>0</v>
      </c>
      <c r="M467" s="31">
        <f t="shared" si="19"/>
        <v>0</v>
      </c>
      <c r="N467" s="5"/>
    </row>
    <row r="468" spans="1:14" x14ac:dyDescent="0.25">
      <c r="A468" s="38"/>
      <c r="B468" s="16" t="s">
        <v>970</v>
      </c>
      <c r="C468" s="27" t="s">
        <v>430</v>
      </c>
      <c r="D468" s="27" t="s">
        <v>767</v>
      </c>
      <c r="E468" s="28">
        <v>92</v>
      </c>
      <c r="F468" s="28">
        <v>2</v>
      </c>
      <c r="G468" s="27" t="s">
        <v>133</v>
      </c>
      <c r="H468" s="28">
        <v>8</v>
      </c>
      <c r="I468" s="19"/>
      <c r="J468" s="4" t="str">
        <f t="shared" si="20"/>
        <v>OR092</v>
      </c>
      <c r="K468" s="6" t="str">
        <f>IFERROR(VLOOKUP(J468,'Inadimplencia - FEV 2025'!$A$5:$E$85,4,0),"0")</f>
        <v>0</v>
      </c>
      <c r="L468" s="6" t="str">
        <f>IFERROR(VLOOKUP(J468,'Inadimplencia - Out 2025'!$A$5:$E$85,4,0),"0")</f>
        <v>0</v>
      </c>
      <c r="M468" s="31">
        <f t="shared" si="19"/>
        <v>0</v>
      </c>
      <c r="N468" s="5"/>
    </row>
    <row r="469" spans="1:14" x14ac:dyDescent="0.25">
      <c r="A469" s="38"/>
      <c r="B469" s="20" t="s">
        <v>972</v>
      </c>
      <c r="C469" s="17" t="s">
        <v>937</v>
      </c>
      <c r="D469" s="17" t="s">
        <v>767</v>
      </c>
      <c r="E469" s="18">
        <v>93</v>
      </c>
      <c r="F469" s="18">
        <v>2</v>
      </c>
      <c r="G469" s="17" t="s">
        <v>118</v>
      </c>
      <c r="H469" s="18">
        <v>8</v>
      </c>
      <c r="I469" s="19"/>
      <c r="J469" s="4" t="str">
        <f t="shared" si="20"/>
        <v>OR093</v>
      </c>
      <c r="K469" s="6" t="str">
        <f>IFERROR(VLOOKUP(J469,'Inadimplencia - FEV 2025'!$A$5:$E$85,4,0),"0")</f>
        <v>0</v>
      </c>
      <c r="L469" s="6" t="str">
        <f>IFERROR(VLOOKUP(J469,'Inadimplencia - Out 2025'!$A$5:$E$85,4,0),"0")</f>
        <v>0</v>
      </c>
      <c r="M469" s="31">
        <f t="shared" si="19"/>
        <v>0</v>
      </c>
      <c r="N469" s="5"/>
    </row>
    <row r="470" spans="1:14" x14ac:dyDescent="0.25">
      <c r="A470" s="38"/>
      <c r="B470" s="16" t="s">
        <v>974</v>
      </c>
      <c r="C470" s="27" t="s">
        <v>937</v>
      </c>
      <c r="D470" s="27" t="s">
        <v>767</v>
      </c>
      <c r="E470" s="28">
        <v>94</v>
      </c>
      <c r="F470" s="28">
        <v>2</v>
      </c>
      <c r="G470" s="27" t="s">
        <v>118</v>
      </c>
      <c r="H470" s="28">
        <v>8</v>
      </c>
      <c r="I470" s="19"/>
      <c r="J470" s="4" t="str">
        <f t="shared" si="20"/>
        <v>OR094</v>
      </c>
      <c r="K470" s="6" t="str">
        <f>IFERROR(VLOOKUP(J470,'Inadimplencia - FEV 2025'!$A$5:$E$85,4,0),"0")</f>
        <v>0</v>
      </c>
      <c r="L470" s="6" t="str">
        <f>IFERROR(VLOOKUP(J470,'Inadimplencia - Out 2025'!$A$5:$E$85,4,0),"0")</f>
        <v>0</v>
      </c>
      <c r="M470" s="31">
        <f t="shared" si="19"/>
        <v>0</v>
      </c>
      <c r="N470" s="5"/>
    </row>
    <row r="471" spans="1:14" x14ac:dyDescent="0.25">
      <c r="A471" s="38"/>
      <c r="B471" s="20" t="s">
        <v>976</v>
      </c>
      <c r="C471" s="27" t="s">
        <v>940</v>
      </c>
      <c r="D471" s="27" t="s">
        <v>767</v>
      </c>
      <c r="E471" s="28">
        <v>95</v>
      </c>
      <c r="F471" s="28">
        <v>2</v>
      </c>
      <c r="G471" s="27" t="s">
        <v>118</v>
      </c>
      <c r="H471" s="28">
        <v>8</v>
      </c>
      <c r="I471" s="19"/>
      <c r="J471" s="4" t="str">
        <f t="shared" si="20"/>
        <v>OR095</v>
      </c>
      <c r="K471" s="6" t="str">
        <f>IFERROR(VLOOKUP(J471,'Inadimplencia - FEV 2025'!$A$5:$E$85,4,0),"0")</f>
        <v>0</v>
      </c>
      <c r="L471" s="6" t="str">
        <f>IFERROR(VLOOKUP(J471,'Inadimplencia - Out 2025'!$A$5:$E$85,4,0),"0")</f>
        <v>0</v>
      </c>
      <c r="M471" s="31">
        <f t="shared" si="19"/>
        <v>0</v>
      </c>
      <c r="N471" s="5"/>
    </row>
    <row r="472" spans="1:14" x14ac:dyDescent="0.25">
      <c r="A472" s="38"/>
      <c r="B472" s="20" t="s">
        <v>978</v>
      </c>
      <c r="C472" s="27" t="s">
        <v>942</v>
      </c>
      <c r="D472" s="27" t="s">
        <v>767</v>
      </c>
      <c r="E472" s="28">
        <v>96</v>
      </c>
      <c r="F472" s="28">
        <v>3</v>
      </c>
      <c r="G472" s="27" t="s">
        <v>118</v>
      </c>
      <c r="H472" s="28">
        <v>10</v>
      </c>
      <c r="I472" s="19"/>
      <c r="J472" s="4" t="str">
        <f t="shared" si="20"/>
        <v>OR096</v>
      </c>
      <c r="K472" s="6" t="str">
        <f>IFERROR(VLOOKUP(J472,'Inadimplencia - FEV 2025'!$A$5:$E$85,4,0),"0")</f>
        <v>0</v>
      </c>
      <c r="L472" s="6" t="str">
        <f>IFERROR(VLOOKUP(J472,'Inadimplencia - Out 2025'!$A$5:$E$85,4,0),"0")</f>
        <v>0</v>
      </c>
      <c r="M472" s="31">
        <f t="shared" si="19"/>
        <v>0</v>
      </c>
      <c r="N472" s="5"/>
    </row>
    <row r="473" spans="1:14" x14ac:dyDescent="0.25">
      <c r="A473" s="38"/>
      <c r="B473" s="23" t="s">
        <v>980</v>
      </c>
      <c r="C473" s="17" t="s">
        <v>944</v>
      </c>
      <c r="D473" s="17" t="s">
        <v>767</v>
      </c>
      <c r="E473" s="18">
        <v>97</v>
      </c>
      <c r="F473" s="18">
        <v>2</v>
      </c>
      <c r="G473" s="17" t="s">
        <v>118</v>
      </c>
      <c r="H473" s="18">
        <v>8</v>
      </c>
      <c r="I473" s="19"/>
      <c r="J473" s="4" t="str">
        <f t="shared" si="20"/>
        <v>OR097</v>
      </c>
      <c r="K473" s="6" t="str">
        <f>IFERROR(VLOOKUP(J473,'Inadimplencia - FEV 2025'!$A$5:$E$85,4,0),"0")</f>
        <v>0</v>
      </c>
      <c r="L473" s="6" t="str">
        <f>IFERROR(VLOOKUP(J473,'Inadimplencia - Out 2025'!$A$5:$E$85,4,0),"0")</f>
        <v>0</v>
      </c>
      <c r="M473" s="31">
        <f t="shared" si="19"/>
        <v>0</v>
      </c>
      <c r="N473" s="5"/>
    </row>
    <row r="474" spans="1:14" x14ac:dyDescent="0.25">
      <c r="A474" s="38"/>
      <c r="B474" s="20" t="s">
        <v>982</v>
      </c>
      <c r="C474" s="17" t="s">
        <v>946</v>
      </c>
      <c r="D474" s="17" t="s">
        <v>767</v>
      </c>
      <c r="E474" s="18">
        <v>98</v>
      </c>
      <c r="F474" s="18">
        <v>2</v>
      </c>
      <c r="G474" s="17" t="s">
        <v>118</v>
      </c>
      <c r="H474" s="18">
        <v>8</v>
      </c>
      <c r="I474" s="19"/>
      <c r="J474" s="4" t="str">
        <f t="shared" si="20"/>
        <v>OR098</v>
      </c>
      <c r="K474" s="6" t="str">
        <f>IFERROR(VLOOKUP(J474,'Inadimplencia - FEV 2025'!$A$5:$E$85,4,0),"0")</f>
        <v>0</v>
      </c>
      <c r="L474" s="6" t="str">
        <f>IFERROR(VLOOKUP(J474,'Inadimplencia - Out 2025'!$A$5:$E$85,4,0),"0")</f>
        <v>0</v>
      </c>
      <c r="M474" s="31">
        <f t="shared" si="19"/>
        <v>0</v>
      </c>
      <c r="N474" s="5"/>
    </row>
    <row r="475" spans="1:14" x14ac:dyDescent="0.25">
      <c r="A475" s="38"/>
      <c r="B475" s="20" t="s">
        <v>984</v>
      </c>
      <c r="C475" s="27" t="s">
        <v>948</v>
      </c>
      <c r="D475" s="27" t="s">
        <v>767</v>
      </c>
      <c r="E475" s="28">
        <v>99</v>
      </c>
      <c r="F475" s="28">
        <v>2</v>
      </c>
      <c r="G475" s="27" t="s">
        <v>118</v>
      </c>
      <c r="H475" s="28">
        <v>8</v>
      </c>
      <c r="I475" s="19"/>
      <c r="J475" s="4" t="str">
        <f t="shared" si="20"/>
        <v>OR099</v>
      </c>
      <c r="K475" s="6" t="str">
        <f>IFERROR(VLOOKUP(J475,'Inadimplencia - FEV 2025'!$A$5:$E$85,4,0),"0")</f>
        <v>0</v>
      </c>
      <c r="L475" s="6" t="str">
        <f>IFERROR(VLOOKUP(J475,'Inadimplencia - Out 2025'!$A$5:$E$85,4,0),"0")</f>
        <v>0</v>
      </c>
      <c r="M475" s="31">
        <f t="shared" si="19"/>
        <v>0</v>
      </c>
      <c r="N475" s="5"/>
    </row>
    <row r="476" spans="1:14" x14ac:dyDescent="0.25">
      <c r="A476" s="38"/>
      <c r="B476" s="20" t="s">
        <v>986</v>
      </c>
      <c r="C476" s="21" t="s">
        <v>950</v>
      </c>
      <c r="D476" s="21" t="s">
        <v>951</v>
      </c>
      <c r="E476" s="22">
        <v>1</v>
      </c>
      <c r="F476" s="22">
        <v>2</v>
      </c>
      <c r="G476" s="21" t="s">
        <v>118</v>
      </c>
      <c r="H476" s="22">
        <v>8</v>
      </c>
      <c r="I476" s="19"/>
      <c r="J476" s="4" t="str">
        <f t="shared" ref="J476:J507" si="21">"PI" &amp; TEXT(E476, "000")</f>
        <v>PI001</v>
      </c>
      <c r="K476" s="6" t="str">
        <f>IFERROR(VLOOKUP(J476,'Inadimplencia - FEV 2025'!$A$5:$E$85,4,0),"0")</f>
        <v>0</v>
      </c>
      <c r="L476" s="6" t="str">
        <f>IFERROR(VLOOKUP(J476,'Inadimplencia - Out 2025'!$A$5:$E$85,4,0),"0")</f>
        <v>0</v>
      </c>
      <c r="M476" s="31">
        <f t="shared" si="19"/>
        <v>0</v>
      </c>
      <c r="N476" s="5"/>
    </row>
    <row r="477" spans="1:14" x14ac:dyDescent="0.25">
      <c r="A477" s="38"/>
      <c r="B477" s="16" t="s">
        <v>988</v>
      </c>
      <c r="C477" s="17" t="s">
        <v>953</v>
      </c>
      <c r="D477" s="17" t="s">
        <v>951</v>
      </c>
      <c r="E477" s="18">
        <v>2</v>
      </c>
      <c r="F477" s="18">
        <v>2</v>
      </c>
      <c r="G477" s="17" t="s">
        <v>118</v>
      </c>
      <c r="H477" s="18">
        <v>8</v>
      </c>
      <c r="I477" s="19"/>
      <c r="J477" s="4" t="str">
        <f t="shared" si="21"/>
        <v>PI002</v>
      </c>
      <c r="K477" s="6" t="str">
        <f>IFERROR(VLOOKUP(J477,'Inadimplencia - FEV 2025'!$A$5:$E$85,4,0),"0")</f>
        <v>0</v>
      </c>
      <c r="L477" s="6" t="str">
        <f>IFERROR(VLOOKUP(J477,'Inadimplencia - Out 2025'!$A$5:$E$85,4,0),"0")</f>
        <v>0</v>
      </c>
      <c r="M477" s="31">
        <f t="shared" si="19"/>
        <v>0</v>
      </c>
      <c r="N477" s="5"/>
    </row>
    <row r="478" spans="1:14" x14ac:dyDescent="0.25">
      <c r="A478" s="38"/>
      <c r="B478" s="20" t="s">
        <v>990</v>
      </c>
      <c r="C478" s="21" t="s">
        <v>961</v>
      </c>
      <c r="D478" s="21" t="s">
        <v>951</v>
      </c>
      <c r="E478" s="22">
        <v>6</v>
      </c>
      <c r="F478" s="22">
        <v>2</v>
      </c>
      <c r="G478" s="21" t="s">
        <v>118</v>
      </c>
      <c r="H478" s="22">
        <v>8</v>
      </c>
      <c r="I478" s="19"/>
      <c r="J478" s="4" t="str">
        <f t="shared" si="21"/>
        <v>PI006</v>
      </c>
      <c r="K478" s="6" t="str">
        <f>IFERROR(VLOOKUP(J478,'Inadimplencia - FEV 2025'!$A$5:$E$85,4,0),"0")</f>
        <v>0</v>
      </c>
      <c r="L478" s="6" t="str">
        <f>IFERROR(VLOOKUP(J478,'Inadimplencia - Out 2025'!$A$5:$E$85,4,0),"0")</f>
        <v>0</v>
      </c>
      <c r="M478" s="31">
        <f t="shared" si="19"/>
        <v>0</v>
      </c>
      <c r="N478" s="5"/>
    </row>
    <row r="479" spans="1:14" x14ac:dyDescent="0.25">
      <c r="A479" s="38"/>
      <c r="B479" s="16" t="s">
        <v>992</v>
      </c>
      <c r="C479" s="21" t="s">
        <v>963</v>
      </c>
      <c r="D479" s="21" t="s">
        <v>951</v>
      </c>
      <c r="E479" s="22">
        <v>7</v>
      </c>
      <c r="F479" s="22">
        <v>2</v>
      </c>
      <c r="G479" s="21" t="s">
        <v>118</v>
      </c>
      <c r="H479" s="22">
        <v>8</v>
      </c>
      <c r="I479" s="19"/>
      <c r="J479" s="4" t="str">
        <f t="shared" si="21"/>
        <v>PI007</v>
      </c>
      <c r="K479" s="6" t="str">
        <f>IFERROR(VLOOKUP(J479,'Inadimplencia - FEV 2025'!$A$5:$E$85,4,0),"0")</f>
        <v>0</v>
      </c>
      <c r="L479" s="6" t="str">
        <f>IFERROR(VLOOKUP(J479,'Inadimplencia - Out 2025'!$A$5:$E$85,4,0),"0")</f>
        <v>0</v>
      </c>
      <c r="M479" s="31">
        <f t="shared" si="19"/>
        <v>0</v>
      </c>
      <c r="N479" s="5"/>
    </row>
    <row r="480" spans="1:14" x14ac:dyDescent="0.25">
      <c r="A480" s="38"/>
      <c r="B480" s="20" t="s">
        <v>994</v>
      </c>
      <c r="C480" s="21" t="s">
        <v>965</v>
      </c>
      <c r="D480" s="21" t="s">
        <v>951</v>
      </c>
      <c r="E480" s="22">
        <v>8</v>
      </c>
      <c r="F480" s="22">
        <v>2</v>
      </c>
      <c r="G480" s="21" t="s">
        <v>118</v>
      </c>
      <c r="H480" s="22">
        <v>8</v>
      </c>
      <c r="I480" s="19"/>
      <c r="J480" s="4" t="str">
        <f t="shared" si="21"/>
        <v>PI008</v>
      </c>
      <c r="K480" s="6" t="str">
        <f>IFERROR(VLOOKUP(J480,'Inadimplencia - FEV 2025'!$A$5:$E$85,4,0),"0")</f>
        <v>0</v>
      </c>
      <c r="L480" s="6" t="str">
        <f>IFERROR(VLOOKUP(J480,'Inadimplencia - Out 2025'!$A$5:$E$85,4,0),"0")</f>
        <v>0</v>
      </c>
      <c r="M480" s="31">
        <f t="shared" si="19"/>
        <v>0</v>
      </c>
      <c r="N480" s="5"/>
    </row>
    <row r="481" spans="1:14" x14ac:dyDescent="0.25">
      <c r="A481" s="38"/>
      <c r="B481" s="16" t="s">
        <v>996</v>
      </c>
      <c r="C481" s="21" t="s">
        <v>967</v>
      </c>
      <c r="D481" s="21" t="s">
        <v>951</v>
      </c>
      <c r="E481" s="22">
        <v>9</v>
      </c>
      <c r="F481" s="22">
        <v>2</v>
      </c>
      <c r="G481" s="21" t="s">
        <v>118</v>
      </c>
      <c r="H481" s="22">
        <v>8</v>
      </c>
      <c r="I481" s="19"/>
      <c r="J481" s="4" t="str">
        <f t="shared" si="21"/>
        <v>PI009</v>
      </c>
      <c r="K481" s="6" t="str">
        <f>IFERROR(VLOOKUP(J481,'Inadimplencia - FEV 2025'!$A$5:$E$85,4,0),"0")</f>
        <v>0</v>
      </c>
      <c r="L481" s="6" t="str">
        <f>IFERROR(VLOOKUP(J481,'Inadimplencia - Out 2025'!$A$5:$E$85,4,0),"0")</f>
        <v>0</v>
      </c>
      <c r="M481" s="31">
        <f t="shared" si="19"/>
        <v>0</v>
      </c>
      <c r="N481" s="5"/>
    </row>
    <row r="482" spans="1:14" x14ac:dyDescent="0.25">
      <c r="A482" s="38"/>
      <c r="B482" s="20" t="s">
        <v>998</v>
      </c>
      <c r="C482" s="17" t="s">
        <v>151</v>
      </c>
      <c r="D482" s="17" t="s">
        <v>951</v>
      </c>
      <c r="E482" s="18">
        <v>10</v>
      </c>
      <c r="F482" s="18">
        <v>2</v>
      </c>
      <c r="G482" s="17" t="s">
        <v>133</v>
      </c>
      <c r="H482" s="18">
        <v>8</v>
      </c>
      <c r="I482" s="19"/>
      <c r="J482" s="4" t="str">
        <f t="shared" si="21"/>
        <v>PI010</v>
      </c>
      <c r="K482" s="6" t="str">
        <f>IFERROR(VLOOKUP(J482,'Inadimplencia - FEV 2025'!$A$5:$E$85,4,0),"0")</f>
        <v>0</v>
      </c>
      <c r="L482" s="6" t="str">
        <f>IFERROR(VLOOKUP(J482,'Inadimplencia - Out 2025'!$A$5:$E$85,4,0),"0")</f>
        <v>0</v>
      </c>
      <c r="M482" s="31">
        <f t="shared" si="19"/>
        <v>0</v>
      </c>
      <c r="N482" s="5"/>
    </row>
    <row r="483" spans="1:14" x14ac:dyDescent="0.25">
      <c r="A483" s="38"/>
      <c r="B483" s="20" t="s">
        <v>1000</v>
      </c>
      <c r="C483" s="17" t="s">
        <v>969</v>
      </c>
      <c r="D483" s="17" t="s">
        <v>951</v>
      </c>
      <c r="E483" s="18">
        <v>11</v>
      </c>
      <c r="F483" s="18">
        <v>2</v>
      </c>
      <c r="G483" s="17" t="s">
        <v>118</v>
      </c>
      <c r="H483" s="18">
        <v>8</v>
      </c>
      <c r="I483" s="19"/>
      <c r="J483" s="4" t="str">
        <f t="shared" si="21"/>
        <v>PI011</v>
      </c>
      <c r="K483" s="6" t="str">
        <f>IFERROR(VLOOKUP(J483,'Inadimplencia - FEV 2025'!$A$5:$E$85,4,0),"0")</f>
        <v>0</v>
      </c>
      <c r="L483" s="6" t="str">
        <f>IFERROR(VLOOKUP(J483,'Inadimplencia - Out 2025'!$A$5:$E$85,4,0),"0")</f>
        <v>0</v>
      </c>
      <c r="M483" s="31">
        <f t="shared" si="19"/>
        <v>0</v>
      </c>
      <c r="N483" s="5"/>
    </row>
    <row r="484" spans="1:14" x14ac:dyDescent="0.25">
      <c r="A484" s="38"/>
      <c r="B484" s="16" t="s">
        <v>1002</v>
      </c>
      <c r="C484" s="17" t="s">
        <v>971</v>
      </c>
      <c r="D484" s="17" t="s">
        <v>951</v>
      </c>
      <c r="E484" s="18">
        <v>12</v>
      </c>
      <c r="F484" s="18">
        <v>3</v>
      </c>
      <c r="G484" s="17" t="s">
        <v>118</v>
      </c>
      <c r="H484" s="18">
        <v>8</v>
      </c>
      <c r="I484" s="19"/>
      <c r="J484" s="4" t="str">
        <f t="shared" si="21"/>
        <v>PI012</v>
      </c>
      <c r="K484" s="6" t="str">
        <f>IFERROR(VLOOKUP(J484,'Inadimplencia - FEV 2025'!$A$5:$E$85,4,0),"0")</f>
        <v>0</v>
      </c>
      <c r="L484" s="6" t="str">
        <f>IFERROR(VLOOKUP(J484,'Inadimplencia - Out 2025'!$A$5:$E$85,4,0),"0")</f>
        <v>0</v>
      </c>
      <c r="M484" s="31">
        <f t="shared" si="19"/>
        <v>0</v>
      </c>
      <c r="N484" s="5"/>
    </row>
    <row r="485" spans="1:14" x14ac:dyDescent="0.25">
      <c r="A485" s="38"/>
      <c r="B485" s="20" t="s">
        <v>1004</v>
      </c>
      <c r="C485" s="21" t="s">
        <v>973</v>
      </c>
      <c r="D485" s="21" t="s">
        <v>951</v>
      </c>
      <c r="E485" s="22">
        <v>13</v>
      </c>
      <c r="F485" s="22">
        <v>2</v>
      </c>
      <c r="G485" s="21" t="s">
        <v>118</v>
      </c>
      <c r="H485" s="22">
        <v>8</v>
      </c>
      <c r="I485" s="19"/>
      <c r="J485" s="4" t="str">
        <f t="shared" si="21"/>
        <v>PI013</v>
      </c>
      <c r="K485" s="6" t="str">
        <f>IFERROR(VLOOKUP(J485,'Inadimplencia - FEV 2025'!$A$5:$E$85,4,0),"0")</f>
        <v>0</v>
      </c>
      <c r="L485" s="6" t="str">
        <f>IFERROR(VLOOKUP(J485,'Inadimplencia - Out 2025'!$A$5:$E$85,4,0),"0")</f>
        <v>0</v>
      </c>
      <c r="M485" s="31">
        <f t="shared" si="19"/>
        <v>0</v>
      </c>
      <c r="N485" s="5"/>
    </row>
    <row r="486" spans="1:14" x14ac:dyDescent="0.25">
      <c r="A486" s="38"/>
      <c r="B486" s="16" t="s">
        <v>1006</v>
      </c>
      <c r="C486" s="17" t="s">
        <v>975</v>
      </c>
      <c r="D486" s="17" t="s">
        <v>951</v>
      </c>
      <c r="E486" s="18">
        <v>14</v>
      </c>
      <c r="F486" s="18">
        <v>2</v>
      </c>
      <c r="G486" s="17" t="s">
        <v>118</v>
      </c>
      <c r="H486" s="18">
        <v>8</v>
      </c>
      <c r="I486" s="19"/>
      <c r="J486" s="4" t="str">
        <f t="shared" si="21"/>
        <v>PI014</v>
      </c>
      <c r="K486" s="6" t="str">
        <f>IFERROR(VLOOKUP(J486,'Inadimplencia - FEV 2025'!$A$5:$E$85,4,0),"0")</f>
        <v>0</v>
      </c>
      <c r="L486" s="6" t="str">
        <f>IFERROR(VLOOKUP(J486,'Inadimplencia - Out 2025'!$A$5:$E$85,4,0),"0")</f>
        <v>0</v>
      </c>
      <c r="M486" s="31">
        <f t="shared" si="19"/>
        <v>0</v>
      </c>
      <c r="N486" s="5"/>
    </row>
    <row r="487" spans="1:14" x14ac:dyDescent="0.25">
      <c r="A487" s="38"/>
      <c r="B487" s="16" t="s">
        <v>1008</v>
      </c>
      <c r="C487" s="21" t="s">
        <v>979</v>
      </c>
      <c r="D487" s="21" t="s">
        <v>951</v>
      </c>
      <c r="E487" s="22">
        <v>16</v>
      </c>
      <c r="F487" s="22">
        <v>2</v>
      </c>
      <c r="G487" s="21" t="s">
        <v>118</v>
      </c>
      <c r="H487" s="22">
        <v>8</v>
      </c>
      <c r="I487" s="19"/>
      <c r="J487" s="4" t="str">
        <f t="shared" si="21"/>
        <v>PI016</v>
      </c>
      <c r="K487" s="6" t="str">
        <f>IFERROR(VLOOKUP(J487,'Inadimplencia - FEV 2025'!$A$5:$E$85,4,0),"0")</f>
        <v>0</v>
      </c>
      <c r="L487" s="6" t="str">
        <f>IFERROR(VLOOKUP(J487,'Inadimplencia - Out 2025'!$A$5:$E$85,4,0),"0")</f>
        <v>0</v>
      </c>
      <c r="M487" s="31">
        <f t="shared" si="19"/>
        <v>0</v>
      </c>
      <c r="N487" s="5"/>
    </row>
    <row r="488" spans="1:14" x14ac:dyDescent="0.25">
      <c r="A488" s="38"/>
      <c r="B488" s="20" t="s">
        <v>1010</v>
      </c>
      <c r="C488" s="24" t="s">
        <v>981</v>
      </c>
      <c r="D488" s="24" t="s">
        <v>951</v>
      </c>
      <c r="E488" s="25">
        <v>17</v>
      </c>
      <c r="F488" s="25">
        <v>2</v>
      </c>
      <c r="G488" s="24" t="s">
        <v>118</v>
      </c>
      <c r="H488" s="25">
        <v>8</v>
      </c>
      <c r="I488" s="19"/>
      <c r="J488" s="4" t="str">
        <f t="shared" si="21"/>
        <v>PI017</v>
      </c>
      <c r="K488" s="6" t="str">
        <f>IFERROR(VLOOKUP(J488,'Inadimplencia - FEV 2025'!$A$5:$E$85,4,0),"0")</f>
        <v>0</v>
      </c>
      <c r="L488" s="6" t="str">
        <f>IFERROR(VLOOKUP(J488,'Inadimplencia - Out 2025'!$A$5:$E$85,4,0),"0")</f>
        <v>0</v>
      </c>
      <c r="M488" s="31">
        <f t="shared" si="19"/>
        <v>0</v>
      </c>
      <c r="N488" s="5"/>
    </row>
    <row r="489" spans="1:14" x14ac:dyDescent="0.25">
      <c r="A489" s="38"/>
      <c r="B489" s="16" t="s">
        <v>1012</v>
      </c>
      <c r="C489" s="21" t="s">
        <v>983</v>
      </c>
      <c r="D489" s="21" t="s">
        <v>951</v>
      </c>
      <c r="E489" s="22">
        <v>18</v>
      </c>
      <c r="F489" s="22">
        <v>2</v>
      </c>
      <c r="G489" s="21" t="s">
        <v>118</v>
      </c>
      <c r="H489" s="22">
        <v>8</v>
      </c>
      <c r="I489" s="19"/>
      <c r="J489" s="4" t="str">
        <f t="shared" si="21"/>
        <v>PI018</v>
      </c>
      <c r="K489" s="6" t="str">
        <f>IFERROR(VLOOKUP(J489,'Inadimplencia - FEV 2025'!$A$5:$E$85,4,0),"0")</f>
        <v>0</v>
      </c>
      <c r="L489" s="6" t="str">
        <f>IFERROR(VLOOKUP(J489,'Inadimplencia - Out 2025'!$A$5:$E$85,4,0),"0")</f>
        <v>0</v>
      </c>
      <c r="M489" s="31">
        <f t="shared" si="19"/>
        <v>0</v>
      </c>
      <c r="N489" s="5"/>
    </row>
    <row r="490" spans="1:14" x14ac:dyDescent="0.25">
      <c r="A490" s="38"/>
      <c r="B490" s="16" t="s">
        <v>1014</v>
      </c>
      <c r="C490" s="21" t="s">
        <v>985</v>
      </c>
      <c r="D490" s="21" t="s">
        <v>951</v>
      </c>
      <c r="E490" s="22">
        <v>19</v>
      </c>
      <c r="F490" s="22">
        <v>2</v>
      </c>
      <c r="G490" s="21" t="s">
        <v>118</v>
      </c>
      <c r="H490" s="22">
        <v>8</v>
      </c>
      <c r="I490" s="19"/>
      <c r="J490" s="4" t="str">
        <f t="shared" si="21"/>
        <v>PI019</v>
      </c>
      <c r="K490" s="6" t="str">
        <f>IFERROR(VLOOKUP(J490,'Inadimplencia - FEV 2025'!$A$5:$E$85,4,0),"0")</f>
        <v>0</v>
      </c>
      <c r="L490" s="6" t="str">
        <f>IFERROR(VLOOKUP(J490,'Inadimplencia - Out 2025'!$A$5:$E$85,4,0),"0")</f>
        <v>0</v>
      </c>
      <c r="M490" s="31">
        <f t="shared" si="19"/>
        <v>0</v>
      </c>
      <c r="N490" s="5"/>
    </row>
    <row r="491" spans="1:14" x14ac:dyDescent="0.25">
      <c r="A491" s="38"/>
      <c r="B491" s="16" t="s">
        <v>1016</v>
      </c>
      <c r="C491" s="21" t="s">
        <v>987</v>
      </c>
      <c r="D491" s="21" t="s">
        <v>951</v>
      </c>
      <c r="E491" s="22">
        <v>20</v>
      </c>
      <c r="F491" s="22">
        <v>2</v>
      </c>
      <c r="G491" s="21" t="s">
        <v>118</v>
      </c>
      <c r="H491" s="22">
        <v>8</v>
      </c>
      <c r="I491" s="19"/>
      <c r="J491" s="4" t="str">
        <f t="shared" si="21"/>
        <v>PI020</v>
      </c>
      <c r="K491" s="6" t="str">
        <f>IFERROR(VLOOKUP(J491,'Inadimplencia - FEV 2025'!$A$5:$E$85,4,0),"0")</f>
        <v>0</v>
      </c>
      <c r="L491" s="6" t="str">
        <f>IFERROR(VLOOKUP(J491,'Inadimplencia - Out 2025'!$A$5:$E$85,4,0),"0")</f>
        <v>0</v>
      </c>
      <c r="M491" s="31">
        <f t="shared" si="19"/>
        <v>0</v>
      </c>
      <c r="N491" s="5"/>
    </row>
    <row r="492" spans="1:14" x14ac:dyDescent="0.25">
      <c r="A492" s="38"/>
      <c r="B492" s="16" t="s">
        <v>1018</v>
      </c>
      <c r="C492" s="17" t="s">
        <v>989</v>
      </c>
      <c r="D492" s="17" t="s">
        <v>951</v>
      </c>
      <c r="E492" s="18">
        <v>21</v>
      </c>
      <c r="F492" s="18">
        <v>2</v>
      </c>
      <c r="G492" s="17" t="s">
        <v>118</v>
      </c>
      <c r="H492" s="18">
        <v>8</v>
      </c>
      <c r="I492" s="19"/>
      <c r="J492" s="4" t="str">
        <f t="shared" si="21"/>
        <v>PI021</v>
      </c>
      <c r="K492" s="6" t="str">
        <f>IFERROR(VLOOKUP(J492,'Inadimplencia - FEV 2025'!$A$5:$E$85,4,0),"0")</f>
        <v>0</v>
      </c>
      <c r="L492" s="6" t="str">
        <f>IFERROR(VLOOKUP(J492,'Inadimplencia - Out 2025'!$A$5:$E$85,4,0),"0")</f>
        <v>0</v>
      </c>
      <c r="M492" s="31">
        <f t="shared" si="19"/>
        <v>0</v>
      </c>
      <c r="N492" s="5"/>
    </row>
    <row r="493" spans="1:14" x14ac:dyDescent="0.25">
      <c r="A493" s="38"/>
      <c r="B493" s="16" t="s">
        <v>1020</v>
      </c>
      <c r="C493" s="17" t="s">
        <v>993</v>
      </c>
      <c r="D493" s="17" t="s">
        <v>951</v>
      </c>
      <c r="E493" s="18">
        <v>23</v>
      </c>
      <c r="F493" s="18">
        <v>3</v>
      </c>
      <c r="G493" s="17" t="s">
        <v>133</v>
      </c>
      <c r="H493" s="18">
        <v>12</v>
      </c>
      <c r="I493" s="19"/>
      <c r="J493" s="4" t="str">
        <f t="shared" si="21"/>
        <v>PI023</v>
      </c>
      <c r="K493" s="6" t="str">
        <f>IFERROR(VLOOKUP(J493,'Inadimplencia - FEV 2025'!$A$5:$E$85,4,0),"0")</f>
        <v>0</v>
      </c>
      <c r="L493" s="6" t="str">
        <f>IFERROR(VLOOKUP(J493,'Inadimplencia - Out 2025'!$A$5:$E$85,4,0),"0")</f>
        <v>0</v>
      </c>
      <c r="M493" s="31">
        <f t="shared" si="19"/>
        <v>0</v>
      </c>
      <c r="N493" s="5"/>
    </row>
    <row r="494" spans="1:14" x14ac:dyDescent="0.25">
      <c r="A494" s="38"/>
      <c r="B494" s="20" t="s">
        <v>1022</v>
      </c>
      <c r="C494" s="21" t="s">
        <v>995</v>
      </c>
      <c r="D494" s="21" t="s">
        <v>951</v>
      </c>
      <c r="E494" s="22">
        <v>24</v>
      </c>
      <c r="F494" s="22">
        <v>2</v>
      </c>
      <c r="G494" s="21" t="s">
        <v>118</v>
      </c>
      <c r="H494" s="22">
        <v>8</v>
      </c>
      <c r="I494" s="19"/>
      <c r="J494" s="4" t="str">
        <f t="shared" si="21"/>
        <v>PI024</v>
      </c>
      <c r="K494" s="6" t="str">
        <f>IFERROR(VLOOKUP(J494,'Inadimplencia - FEV 2025'!$A$5:$E$85,4,0),"0")</f>
        <v>0</v>
      </c>
      <c r="L494" s="6" t="str">
        <f>IFERROR(VLOOKUP(J494,'Inadimplencia - Out 2025'!$A$5:$E$85,4,0),"0")</f>
        <v>0</v>
      </c>
      <c r="M494" s="31">
        <f t="shared" si="19"/>
        <v>0</v>
      </c>
      <c r="N494" s="5"/>
    </row>
    <row r="495" spans="1:14" x14ac:dyDescent="0.25">
      <c r="A495" s="38"/>
      <c r="B495" s="20" t="s">
        <v>1024</v>
      </c>
      <c r="C495" s="21" t="s">
        <v>999</v>
      </c>
      <c r="D495" s="21" t="s">
        <v>951</v>
      </c>
      <c r="E495" s="22">
        <v>26</v>
      </c>
      <c r="F495" s="22">
        <v>2</v>
      </c>
      <c r="G495" s="21" t="s">
        <v>118</v>
      </c>
      <c r="H495" s="22">
        <v>8</v>
      </c>
      <c r="I495" s="19"/>
      <c r="J495" s="4" t="str">
        <f t="shared" si="21"/>
        <v>PI026</v>
      </c>
      <c r="K495" s="6" t="str">
        <f>IFERROR(VLOOKUP(J495,'Inadimplencia - FEV 2025'!$A$5:$E$85,4,0),"0")</f>
        <v>0</v>
      </c>
      <c r="L495" s="6" t="str">
        <f>IFERROR(VLOOKUP(J495,'Inadimplencia - Out 2025'!$A$5:$E$85,4,0),"0")</f>
        <v>0</v>
      </c>
      <c r="M495" s="31">
        <f t="shared" si="19"/>
        <v>0</v>
      </c>
      <c r="N495" s="5"/>
    </row>
    <row r="496" spans="1:14" x14ac:dyDescent="0.25">
      <c r="A496" s="38"/>
      <c r="B496" s="20" t="s">
        <v>1026</v>
      </c>
      <c r="C496" s="21" t="s">
        <v>1001</v>
      </c>
      <c r="D496" s="21" t="s">
        <v>951</v>
      </c>
      <c r="E496" s="22">
        <v>27</v>
      </c>
      <c r="F496" s="22">
        <v>2</v>
      </c>
      <c r="G496" s="21" t="s">
        <v>118</v>
      </c>
      <c r="H496" s="22">
        <v>8</v>
      </c>
      <c r="I496" s="19"/>
      <c r="J496" s="4" t="str">
        <f t="shared" si="21"/>
        <v>PI027</v>
      </c>
      <c r="K496" s="6" t="str">
        <f>IFERROR(VLOOKUP(J496,'Inadimplencia - FEV 2025'!$A$5:$E$85,4,0),"0")</f>
        <v>0</v>
      </c>
      <c r="L496" s="6" t="str">
        <f>IFERROR(VLOOKUP(J496,'Inadimplencia - Out 2025'!$A$5:$E$85,4,0),"0")</f>
        <v>0</v>
      </c>
      <c r="M496" s="31">
        <f t="shared" si="19"/>
        <v>0</v>
      </c>
      <c r="N496" s="5"/>
    </row>
    <row r="497" spans="1:14" x14ac:dyDescent="0.25">
      <c r="A497" s="38"/>
      <c r="B497" s="16" t="s">
        <v>1028</v>
      </c>
      <c r="C497" s="17" t="s">
        <v>1003</v>
      </c>
      <c r="D497" s="17" t="s">
        <v>951</v>
      </c>
      <c r="E497" s="18">
        <v>28</v>
      </c>
      <c r="F497" s="18">
        <v>2</v>
      </c>
      <c r="G497" s="17" t="s">
        <v>118</v>
      </c>
      <c r="H497" s="18">
        <v>8</v>
      </c>
      <c r="I497" s="19"/>
      <c r="J497" s="4" t="str">
        <f t="shared" si="21"/>
        <v>PI028</v>
      </c>
      <c r="K497" s="6" t="str">
        <f>IFERROR(VLOOKUP(J497,'Inadimplencia - FEV 2025'!$A$5:$E$85,4,0),"0")</f>
        <v>0</v>
      </c>
      <c r="L497" s="6" t="str">
        <f>IFERROR(VLOOKUP(J497,'Inadimplencia - Out 2025'!$A$5:$E$85,4,0),"0")</f>
        <v>0</v>
      </c>
      <c r="M497" s="31">
        <f t="shared" si="19"/>
        <v>0</v>
      </c>
      <c r="N497" s="5"/>
    </row>
    <row r="498" spans="1:14" ht="25.5" x14ac:dyDescent="0.25">
      <c r="A498" s="38"/>
      <c r="B498" s="20" t="s">
        <v>1030</v>
      </c>
      <c r="C498" s="21" t="s">
        <v>1005</v>
      </c>
      <c r="D498" s="21" t="s">
        <v>951</v>
      </c>
      <c r="E498" s="22">
        <v>29</v>
      </c>
      <c r="F498" s="22">
        <v>2</v>
      </c>
      <c r="G498" s="21" t="s">
        <v>118</v>
      </c>
      <c r="H498" s="22">
        <v>8</v>
      </c>
      <c r="I498" s="19"/>
      <c r="J498" s="4" t="str">
        <f t="shared" si="21"/>
        <v>PI029</v>
      </c>
      <c r="K498" s="6" t="str">
        <f>IFERROR(VLOOKUP(J498,'Inadimplencia - FEV 2025'!$A$5:$E$85,4,0),"0")</f>
        <v>0</v>
      </c>
      <c r="L498" s="6" t="str">
        <f>IFERROR(VLOOKUP(J498,'Inadimplencia - Out 2025'!$A$5:$E$85,4,0),"0")</f>
        <v>0</v>
      </c>
      <c r="M498" s="31">
        <f t="shared" si="19"/>
        <v>0</v>
      </c>
      <c r="N498" s="5"/>
    </row>
    <row r="499" spans="1:14" x14ac:dyDescent="0.25">
      <c r="A499" s="38"/>
      <c r="B499" s="16" t="s">
        <v>1032</v>
      </c>
      <c r="C499" s="17" t="s">
        <v>1007</v>
      </c>
      <c r="D499" s="17" t="s">
        <v>951</v>
      </c>
      <c r="E499" s="18">
        <v>30</v>
      </c>
      <c r="F499" s="18">
        <v>2</v>
      </c>
      <c r="G499" s="17" t="s">
        <v>118</v>
      </c>
      <c r="H499" s="18">
        <v>8</v>
      </c>
      <c r="I499" s="19"/>
      <c r="J499" s="4" t="str">
        <f t="shared" si="21"/>
        <v>PI030</v>
      </c>
      <c r="K499" s="6" t="str">
        <f>IFERROR(VLOOKUP(J499,'Inadimplencia - FEV 2025'!$A$5:$E$85,4,0),"0")</f>
        <v>0</v>
      </c>
      <c r="L499" s="6" t="str">
        <f>IFERROR(VLOOKUP(J499,'Inadimplencia - Out 2025'!$A$5:$E$85,4,0),"0")</f>
        <v>0</v>
      </c>
      <c r="M499" s="31">
        <f t="shared" si="19"/>
        <v>0</v>
      </c>
      <c r="N499" s="5"/>
    </row>
    <row r="500" spans="1:14" x14ac:dyDescent="0.25">
      <c r="A500" s="38"/>
      <c r="B500" s="16" t="s">
        <v>1034</v>
      </c>
      <c r="C500" s="17" t="s">
        <v>1009</v>
      </c>
      <c r="D500" s="17" t="s">
        <v>951</v>
      </c>
      <c r="E500" s="18">
        <v>31</v>
      </c>
      <c r="F500" s="18">
        <v>2</v>
      </c>
      <c r="G500" s="17" t="s">
        <v>118</v>
      </c>
      <c r="H500" s="18">
        <v>8</v>
      </c>
      <c r="I500" s="19"/>
      <c r="J500" s="4" t="str">
        <f t="shared" si="21"/>
        <v>PI031</v>
      </c>
      <c r="K500" s="6" t="str">
        <f>IFERROR(VLOOKUP(J500,'Inadimplencia - FEV 2025'!$A$5:$E$85,4,0),"0")</f>
        <v>0</v>
      </c>
      <c r="L500" s="6" t="str">
        <f>IFERROR(VLOOKUP(J500,'Inadimplencia - Out 2025'!$A$5:$E$85,4,0),"0")</f>
        <v>0</v>
      </c>
      <c r="M500" s="31">
        <f t="shared" si="19"/>
        <v>0</v>
      </c>
      <c r="N500" s="5"/>
    </row>
    <row r="501" spans="1:14" x14ac:dyDescent="0.25">
      <c r="A501" s="38"/>
      <c r="B501" s="16" t="s">
        <v>1036</v>
      </c>
      <c r="C501" s="21" t="s">
        <v>1011</v>
      </c>
      <c r="D501" s="21" t="s">
        <v>951</v>
      </c>
      <c r="E501" s="22">
        <v>32</v>
      </c>
      <c r="F501" s="22">
        <v>2</v>
      </c>
      <c r="G501" s="21" t="s">
        <v>118</v>
      </c>
      <c r="H501" s="22">
        <v>8</v>
      </c>
      <c r="I501" s="19"/>
      <c r="J501" s="4" t="str">
        <f t="shared" si="21"/>
        <v>PI032</v>
      </c>
      <c r="K501" s="6" t="str">
        <f>IFERROR(VLOOKUP(J501,'Inadimplencia - FEV 2025'!$A$5:$E$85,4,0),"0")</f>
        <v>0</v>
      </c>
      <c r="L501" s="6" t="str">
        <f>IFERROR(VLOOKUP(J501,'Inadimplencia - Out 2025'!$A$5:$E$85,4,0),"0")</f>
        <v>0</v>
      </c>
      <c r="M501" s="31">
        <f t="shared" si="19"/>
        <v>0</v>
      </c>
      <c r="N501" s="5"/>
    </row>
    <row r="502" spans="1:14" x14ac:dyDescent="0.25">
      <c r="A502" s="38"/>
      <c r="B502" s="20" t="s">
        <v>1038</v>
      </c>
      <c r="C502" s="17" t="s">
        <v>1015</v>
      </c>
      <c r="D502" s="17" t="s">
        <v>951</v>
      </c>
      <c r="E502" s="18">
        <v>34</v>
      </c>
      <c r="F502" s="18">
        <v>2</v>
      </c>
      <c r="G502" s="17" t="s">
        <v>118</v>
      </c>
      <c r="H502" s="18">
        <v>8</v>
      </c>
      <c r="I502" s="19"/>
      <c r="J502" s="4" t="str">
        <f t="shared" si="21"/>
        <v>PI034</v>
      </c>
      <c r="K502" s="6" t="str">
        <f>IFERROR(VLOOKUP(J502,'Inadimplencia - FEV 2025'!$A$5:$E$85,4,0),"0")</f>
        <v>0</v>
      </c>
      <c r="L502" s="6" t="str">
        <f>IFERROR(VLOOKUP(J502,'Inadimplencia - Out 2025'!$A$5:$E$85,4,0),"0")</f>
        <v>0</v>
      </c>
      <c r="M502" s="31">
        <f t="shared" si="19"/>
        <v>0</v>
      </c>
      <c r="N502" s="5"/>
    </row>
    <row r="503" spans="1:14" x14ac:dyDescent="0.25">
      <c r="A503" s="38"/>
      <c r="B503" s="20" t="s">
        <v>1040</v>
      </c>
      <c r="C503" s="17" t="s">
        <v>1017</v>
      </c>
      <c r="D503" s="17" t="s">
        <v>951</v>
      </c>
      <c r="E503" s="18">
        <v>35</v>
      </c>
      <c r="F503" s="18">
        <v>2</v>
      </c>
      <c r="G503" s="17" t="s">
        <v>118</v>
      </c>
      <c r="H503" s="18">
        <v>8</v>
      </c>
      <c r="I503" s="19"/>
      <c r="J503" s="4" t="str">
        <f t="shared" si="21"/>
        <v>PI035</v>
      </c>
      <c r="K503" s="6" t="str">
        <f>IFERROR(VLOOKUP(J503,'Inadimplencia - FEV 2025'!$A$5:$E$85,4,0),"0")</f>
        <v>0</v>
      </c>
      <c r="L503" s="6" t="str">
        <f>IFERROR(VLOOKUP(J503,'Inadimplencia - Out 2025'!$A$5:$E$85,4,0),"0")</f>
        <v>0</v>
      </c>
      <c r="M503" s="31">
        <f t="shared" si="19"/>
        <v>0</v>
      </c>
      <c r="N503" s="5"/>
    </row>
    <row r="504" spans="1:14" x14ac:dyDescent="0.25">
      <c r="A504" s="38"/>
      <c r="B504" s="20" t="s">
        <v>1042</v>
      </c>
      <c r="C504" s="17" t="s">
        <v>1019</v>
      </c>
      <c r="D504" s="17" t="s">
        <v>951</v>
      </c>
      <c r="E504" s="18">
        <v>36</v>
      </c>
      <c r="F504" s="18">
        <v>2</v>
      </c>
      <c r="G504" s="17" t="s">
        <v>118</v>
      </c>
      <c r="H504" s="18">
        <v>8</v>
      </c>
      <c r="I504" s="19"/>
      <c r="J504" s="4" t="str">
        <f t="shared" si="21"/>
        <v>PI036</v>
      </c>
      <c r="K504" s="6" t="str">
        <f>IFERROR(VLOOKUP(J504,'Inadimplencia - FEV 2025'!$A$5:$E$85,4,0),"0")</f>
        <v>0</v>
      </c>
      <c r="L504" s="6" t="str">
        <f>IFERROR(VLOOKUP(J504,'Inadimplencia - Out 2025'!$A$5:$E$85,4,0),"0")</f>
        <v>0</v>
      </c>
      <c r="M504" s="31">
        <f t="shared" si="19"/>
        <v>0</v>
      </c>
      <c r="N504" s="5"/>
    </row>
    <row r="505" spans="1:14" x14ac:dyDescent="0.25">
      <c r="A505" s="38"/>
      <c r="B505" s="16" t="s">
        <v>1044</v>
      </c>
      <c r="C505" s="17" t="s">
        <v>1021</v>
      </c>
      <c r="D505" s="17" t="s">
        <v>951</v>
      </c>
      <c r="E505" s="18">
        <v>37</v>
      </c>
      <c r="F505" s="18">
        <v>2</v>
      </c>
      <c r="G505" s="17" t="s">
        <v>118</v>
      </c>
      <c r="H505" s="18">
        <v>8</v>
      </c>
      <c r="I505" s="19"/>
      <c r="J505" s="4" t="str">
        <f t="shared" si="21"/>
        <v>PI037</v>
      </c>
      <c r="K505" s="6" t="str">
        <f>IFERROR(VLOOKUP(J505,'Inadimplencia - FEV 2025'!$A$5:$E$85,4,0),"0")</f>
        <v>0</v>
      </c>
      <c r="L505" s="6" t="str">
        <f>IFERROR(VLOOKUP(J505,'Inadimplencia - Out 2025'!$A$5:$E$85,4,0),"0")</f>
        <v>0</v>
      </c>
      <c r="M505" s="31">
        <f t="shared" si="19"/>
        <v>0</v>
      </c>
      <c r="N505" s="5"/>
    </row>
    <row r="506" spans="1:14" x14ac:dyDescent="0.25">
      <c r="A506" s="38"/>
      <c r="B506" s="16" t="s">
        <v>1046</v>
      </c>
      <c r="C506" s="21" t="s">
        <v>1023</v>
      </c>
      <c r="D506" s="21" t="s">
        <v>951</v>
      </c>
      <c r="E506" s="22">
        <v>38</v>
      </c>
      <c r="F506" s="22">
        <v>2</v>
      </c>
      <c r="G506" s="21" t="s">
        <v>118</v>
      </c>
      <c r="H506" s="22">
        <v>8</v>
      </c>
      <c r="I506" s="19"/>
      <c r="J506" s="4" t="str">
        <f t="shared" si="21"/>
        <v>PI038</v>
      </c>
      <c r="K506" s="6" t="str">
        <f>IFERROR(VLOOKUP(J506,'Inadimplencia - FEV 2025'!$A$5:$E$85,4,0),"0")</f>
        <v>0</v>
      </c>
      <c r="L506" s="6" t="str">
        <f>IFERROR(VLOOKUP(J506,'Inadimplencia - Out 2025'!$A$5:$E$85,4,0),"0")</f>
        <v>0</v>
      </c>
      <c r="M506" s="31">
        <f t="shared" si="19"/>
        <v>0</v>
      </c>
      <c r="N506" s="5"/>
    </row>
    <row r="507" spans="1:14" x14ac:dyDescent="0.25">
      <c r="A507" s="38"/>
      <c r="B507" s="20" t="s">
        <v>1048</v>
      </c>
      <c r="C507" s="21" t="s">
        <v>1025</v>
      </c>
      <c r="D507" s="21" t="s">
        <v>951</v>
      </c>
      <c r="E507" s="22">
        <v>39</v>
      </c>
      <c r="F507" s="22">
        <v>2</v>
      </c>
      <c r="G507" s="21" t="s">
        <v>118</v>
      </c>
      <c r="H507" s="22">
        <v>8</v>
      </c>
      <c r="I507" s="19"/>
      <c r="J507" s="4" t="str">
        <f t="shared" si="21"/>
        <v>PI039</v>
      </c>
      <c r="K507" s="6" t="str">
        <f>IFERROR(VLOOKUP(J507,'Inadimplencia - FEV 2025'!$A$5:$E$85,4,0),"0")</f>
        <v>0</v>
      </c>
      <c r="L507" s="6" t="str">
        <f>IFERROR(VLOOKUP(J507,'Inadimplencia - Out 2025'!$A$5:$E$85,4,0),"0")</f>
        <v>0</v>
      </c>
      <c r="M507" s="31">
        <f t="shared" si="19"/>
        <v>0</v>
      </c>
      <c r="N507" s="5"/>
    </row>
    <row r="508" spans="1:14" x14ac:dyDescent="0.25">
      <c r="A508" s="38"/>
      <c r="B508" s="20" t="s">
        <v>1050</v>
      </c>
      <c r="C508" s="21" t="s">
        <v>1027</v>
      </c>
      <c r="D508" s="21" t="s">
        <v>951</v>
      </c>
      <c r="E508" s="22">
        <v>40</v>
      </c>
      <c r="F508" s="22">
        <v>2</v>
      </c>
      <c r="G508" s="21" t="s">
        <v>118</v>
      </c>
      <c r="H508" s="22">
        <v>8</v>
      </c>
      <c r="I508" s="19"/>
      <c r="J508" s="4" t="str">
        <f t="shared" ref="J508:J539" si="22">"PI" &amp; TEXT(E508, "000")</f>
        <v>PI040</v>
      </c>
      <c r="K508" s="6" t="str">
        <f>IFERROR(VLOOKUP(J508,'Inadimplencia - FEV 2025'!$A$5:$E$85,4,0),"0")</f>
        <v>0</v>
      </c>
      <c r="L508" s="6" t="str">
        <f>IFERROR(VLOOKUP(J508,'Inadimplencia - Out 2025'!$A$5:$E$85,4,0),"0")</f>
        <v>0</v>
      </c>
      <c r="M508" s="31">
        <f t="shared" si="19"/>
        <v>0</v>
      </c>
      <c r="N508" s="5"/>
    </row>
    <row r="509" spans="1:14" x14ac:dyDescent="0.25">
      <c r="A509" s="38"/>
      <c r="B509" s="20" t="s">
        <v>1052</v>
      </c>
      <c r="C509" s="17" t="s">
        <v>1029</v>
      </c>
      <c r="D509" s="17" t="s">
        <v>951</v>
      </c>
      <c r="E509" s="18">
        <v>41</v>
      </c>
      <c r="F509" s="18">
        <v>2</v>
      </c>
      <c r="G509" s="17" t="s">
        <v>118</v>
      </c>
      <c r="H509" s="18">
        <v>8</v>
      </c>
      <c r="I509" s="19"/>
      <c r="J509" s="4" t="str">
        <f t="shared" si="22"/>
        <v>PI041</v>
      </c>
      <c r="K509" s="6" t="str">
        <f>IFERROR(VLOOKUP(J509,'Inadimplencia - FEV 2025'!$A$5:$E$85,4,0),"0")</f>
        <v>0</v>
      </c>
      <c r="L509" s="6" t="str">
        <f>IFERROR(VLOOKUP(J509,'Inadimplencia - Out 2025'!$A$5:$E$85,4,0),"0")</f>
        <v>0</v>
      </c>
      <c r="M509" s="31">
        <f t="shared" si="19"/>
        <v>0</v>
      </c>
      <c r="N509" s="5"/>
    </row>
    <row r="510" spans="1:14" x14ac:dyDescent="0.25">
      <c r="A510" s="38"/>
      <c r="B510" s="16" t="s">
        <v>1054</v>
      </c>
      <c r="C510" s="17" t="s">
        <v>1033</v>
      </c>
      <c r="D510" s="17" t="s">
        <v>951</v>
      </c>
      <c r="E510" s="18">
        <v>43</v>
      </c>
      <c r="F510" s="18">
        <v>2</v>
      </c>
      <c r="G510" s="17" t="s">
        <v>118</v>
      </c>
      <c r="H510" s="18">
        <v>8</v>
      </c>
      <c r="I510" s="19"/>
      <c r="J510" s="4" t="str">
        <f t="shared" si="22"/>
        <v>PI043</v>
      </c>
      <c r="K510" s="6" t="str">
        <f>IFERROR(VLOOKUP(J510,'Inadimplencia - FEV 2025'!$A$5:$E$85,4,0),"0")</f>
        <v>0</v>
      </c>
      <c r="L510" s="6" t="str">
        <f>IFERROR(VLOOKUP(J510,'Inadimplencia - Out 2025'!$A$5:$E$85,4,0),"0")</f>
        <v>0</v>
      </c>
      <c r="M510" s="31">
        <f t="shared" si="19"/>
        <v>0</v>
      </c>
      <c r="N510" s="5"/>
    </row>
    <row r="511" spans="1:14" x14ac:dyDescent="0.25">
      <c r="A511" s="38"/>
      <c r="B511" s="16" t="s">
        <v>1056</v>
      </c>
      <c r="C511" s="17" t="s">
        <v>1035</v>
      </c>
      <c r="D511" s="17" t="s">
        <v>951</v>
      </c>
      <c r="E511" s="18">
        <v>44</v>
      </c>
      <c r="F511" s="18">
        <v>2</v>
      </c>
      <c r="G511" s="17" t="s">
        <v>118</v>
      </c>
      <c r="H511" s="18">
        <v>8</v>
      </c>
      <c r="I511" s="19"/>
      <c r="J511" s="4" t="str">
        <f t="shared" si="22"/>
        <v>PI044</v>
      </c>
      <c r="K511" s="6" t="str">
        <f>IFERROR(VLOOKUP(J511,'Inadimplencia - FEV 2025'!$A$5:$E$85,4,0),"0")</f>
        <v>0</v>
      </c>
      <c r="L511" s="6" t="str">
        <f>IFERROR(VLOOKUP(J511,'Inadimplencia - Out 2025'!$A$5:$E$85,4,0),"0")</f>
        <v>0</v>
      </c>
      <c r="M511" s="31">
        <f t="shared" si="19"/>
        <v>0</v>
      </c>
      <c r="N511" s="5"/>
    </row>
    <row r="512" spans="1:14" x14ac:dyDescent="0.25">
      <c r="A512" s="38"/>
      <c r="B512" s="16" t="s">
        <v>290</v>
      </c>
      <c r="C512" s="17" t="s">
        <v>1037</v>
      </c>
      <c r="D512" s="17" t="s">
        <v>951</v>
      </c>
      <c r="E512" s="18">
        <v>45</v>
      </c>
      <c r="F512" s="18">
        <v>2</v>
      </c>
      <c r="G512" s="17" t="s">
        <v>118</v>
      </c>
      <c r="H512" s="18">
        <v>8</v>
      </c>
      <c r="I512" s="19"/>
      <c r="J512" s="4" t="str">
        <f t="shared" si="22"/>
        <v>PI045</v>
      </c>
      <c r="K512" s="6" t="str">
        <f>IFERROR(VLOOKUP(J512,'Inadimplencia - FEV 2025'!$A$5:$E$85,4,0),"0")</f>
        <v>0</v>
      </c>
      <c r="L512" s="6" t="str">
        <f>IFERROR(VLOOKUP(J512,'Inadimplencia - Out 2025'!$A$5:$E$85,4,0),"0")</f>
        <v>0</v>
      </c>
      <c r="M512" s="31">
        <f t="shared" si="19"/>
        <v>0</v>
      </c>
      <c r="N512" s="5"/>
    </row>
    <row r="513" spans="1:14" x14ac:dyDescent="0.25">
      <c r="A513" s="38"/>
      <c r="B513" s="20" t="s">
        <v>290</v>
      </c>
      <c r="C513" s="21" t="s">
        <v>1039</v>
      </c>
      <c r="D513" s="21" t="s">
        <v>951</v>
      </c>
      <c r="E513" s="22">
        <v>46</v>
      </c>
      <c r="F513" s="22">
        <v>2</v>
      </c>
      <c r="G513" s="21" t="s">
        <v>118</v>
      </c>
      <c r="H513" s="22">
        <v>8</v>
      </c>
      <c r="I513" s="19"/>
      <c r="J513" s="4" t="str">
        <f t="shared" si="22"/>
        <v>PI046</v>
      </c>
      <c r="K513" s="6" t="str">
        <f>IFERROR(VLOOKUP(J513,'Inadimplencia - FEV 2025'!$A$5:$E$85,4,0),"0")</f>
        <v>0</v>
      </c>
      <c r="L513" s="6" t="str">
        <f>IFERROR(VLOOKUP(J513,'Inadimplencia - Out 2025'!$A$5:$E$85,4,0),"0")</f>
        <v>0</v>
      </c>
      <c r="M513" s="31">
        <f t="shared" si="19"/>
        <v>0</v>
      </c>
      <c r="N513" s="5"/>
    </row>
    <row r="514" spans="1:14" x14ac:dyDescent="0.25">
      <c r="A514" s="38"/>
      <c r="B514" s="16" t="s">
        <v>1058</v>
      </c>
      <c r="C514" s="21" t="s">
        <v>1041</v>
      </c>
      <c r="D514" s="21" t="s">
        <v>951</v>
      </c>
      <c r="E514" s="22">
        <v>47</v>
      </c>
      <c r="F514" s="22">
        <v>2</v>
      </c>
      <c r="G514" s="21" t="s">
        <v>118</v>
      </c>
      <c r="H514" s="22">
        <v>8</v>
      </c>
      <c r="I514" s="19"/>
      <c r="J514" s="4" t="str">
        <f t="shared" si="22"/>
        <v>PI047</v>
      </c>
      <c r="K514" s="6" t="str">
        <f>IFERROR(VLOOKUP(J514,'Inadimplencia - FEV 2025'!$A$5:$E$85,4,0),"0")</f>
        <v>0</v>
      </c>
      <c r="L514" s="6" t="str">
        <f>IFERROR(VLOOKUP(J514,'Inadimplencia - Out 2025'!$A$5:$E$85,4,0),"0")</f>
        <v>0</v>
      </c>
      <c r="M514" s="31">
        <f t="shared" si="19"/>
        <v>0</v>
      </c>
      <c r="N514" s="5"/>
    </row>
    <row r="515" spans="1:14" x14ac:dyDescent="0.25">
      <c r="A515" s="38"/>
      <c r="B515" s="20" t="s">
        <v>1060</v>
      </c>
      <c r="C515" s="21" t="s">
        <v>1043</v>
      </c>
      <c r="D515" s="21" t="s">
        <v>951</v>
      </c>
      <c r="E515" s="22">
        <v>48</v>
      </c>
      <c r="F515" s="22">
        <v>2</v>
      </c>
      <c r="G515" s="21" t="s">
        <v>118</v>
      </c>
      <c r="H515" s="22">
        <v>8</v>
      </c>
      <c r="I515" s="19"/>
      <c r="J515" s="4" t="str">
        <f t="shared" si="22"/>
        <v>PI048</v>
      </c>
      <c r="K515" s="6" t="str">
        <f>IFERROR(VLOOKUP(J515,'Inadimplencia - FEV 2025'!$A$5:$E$85,4,0),"0")</f>
        <v>0</v>
      </c>
      <c r="L515" s="6" t="str">
        <f>IFERROR(VLOOKUP(J515,'Inadimplencia - Out 2025'!$A$5:$E$85,4,0),"0")</f>
        <v>0</v>
      </c>
      <c r="M515" s="31">
        <f t="shared" si="19"/>
        <v>0</v>
      </c>
      <c r="N515" s="5"/>
    </row>
    <row r="516" spans="1:14" x14ac:dyDescent="0.25">
      <c r="A516" s="38"/>
      <c r="B516" s="16" t="s">
        <v>1062</v>
      </c>
      <c r="C516" s="17" t="s">
        <v>1047</v>
      </c>
      <c r="D516" s="17" t="s">
        <v>951</v>
      </c>
      <c r="E516" s="18">
        <v>50</v>
      </c>
      <c r="F516" s="18">
        <v>2</v>
      </c>
      <c r="G516" s="17" t="s">
        <v>118</v>
      </c>
      <c r="H516" s="18">
        <v>8</v>
      </c>
      <c r="I516" s="19"/>
      <c r="J516" s="4" t="str">
        <f t="shared" si="22"/>
        <v>PI050</v>
      </c>
      <c r="K516" s="6" t="str">
        <f>IFERROR(VLOOKUP(J516,'Inadimplencia - FEV 2025'!$A$5:$E$85,4,0),"0")</f>
        <v>0</v>
      </c>
      <c r="L516" s="6" t="str">
        <f>IFERROR(VLOOKUP(J516,'Inadimplencia - Out 2025'!$A$5:$E$85,4,0),"0")</f>
        <v>0</v>
      </c>
      <c r="M516" s="31">
        <f t="shared" si="19"/>
        <v>0</v>
      </c>
      <c r="N516" s="5"/>
    </row>
    <row r="517" spans="1:14" x14ac:dyDescent="0.25">
      <c r="A517" s="38"/>
      <c r="B517" s="20" t="s">
        <v>1064</v>
      </c>
      <c r="C517" s="21" t="s">
        <v>1049</v>
      </c>
      <c r="D517" s="21" t="s">
        <v>951</v>
      </c>
      <c r="E517" s="22">
        <v>51</v>
      </c>
      <c r="F517" s="22">
        <v>2</v>
      </c>
      <c r="G517" s="21" t="s">
        <v>118</v>
      </c>
      <c r="H517" s="22">
        <v>8</v>
      </c>
      <c r="I517" s="19"/>
      <c r="J517" s="4" t="str">
        <f t="shared" si="22"/>
        <v>PI051</v>
      </c>
      <c r="K517" s="6" t="str">
        <f>IFERROR(VLOOKUP(J517,'Inadimplencia - FEV 2025'!$A$5:$E$85,4,0),"0")</f>
        <v>0</v>
      </c>
      <c r="L517" s="6" t="str">
        <f>IFERROR(VLOOKUP(J517,'Inadimplencia - Out 2025'!$A$5:$E$85,4,0),"0")</f>
        <v>0</v>
      </c>
      <c r="M517" s="31">
        <f t="shared" si="19"/>
        <v>0</v>
      </c>
      <c r="N517" s="5"/>
    </row>
    <row r="518" spans="1:14" x14ac:dyDescent="0.25">
      <c r="A518" s="38"/>
      <c r="B518" s="16" t="s">
        <v>1066</v>
      </c>
      <c r="C518" s="21" t="s">
        <v>1051</v>
      </c>
      <c r="D518" s="21" t="s">
        <v>951</v>
      </c>
      <c r="E518" s="22">
        <v>52</v>
      </c>
      <c r="F518" s="22">
        <v>2</v>
      </c>
      <c r="G518" s="21" t="s">
        <v>118</v>
      </c>
      <c r="H518" s="22">
        <v>8</v>
      </c>
      <c r="I518" s="19"/>
      <c r="J518" s="4" t="str">
        <f t="shared" si="22"/>
        <v>PI052</v>
      </c>
      <c r="K518" s="6" t="str">
        <f>IFERROR(VLOOKUP(J518,'Inadimplencia - FEV 2025'!$A$5:$E$85,4,0),"0")</f>
        <v>0</v>
      </c>
      <c r="L518" s="6" t="str">
        <f>IFERROR(VLOOKUP(J518,'Inadimplencia - Out 2025'!$A$5:$E$85,4,0),"0")</f>
        <v>0</v>
      </c>
      <c r="M518" s="31">
        <f t="shared" si="19"/>
        <v>0</v>
      </c>
      <c r="N518" s="5"/>
    </row>
    <row r="519" spans="1:14" x14ac:dyDescent="0.25">
      <c r="A519" s="38"/>
      <c r="B519" s="16" t="s">
        <v>858</v>
      </c>
      <c r="C519" s="21" t="s">
        <v>1053</v>
      </c>
      <c r="D519" s="21" t="s">
        <v>951</v>
      </c>
      <c r="E519" s="22">
        <v>53</v>
      </c>
      <c r="F519" s="22">
        <v>2</v>
      </c>
      <c r="G519" s="21" t="s">
        <v>118</v>
      </c>
      <c r="H519" s="22">
        <v>8</v>
      </c>
      <c r="I519" s="19"/>
      <c r="J519" s="4" t="str">
        <f t="shared" si="22"/>
        <v>PI053</v>
      </c>
      <c r="K519" s="6" t="str">
        <f>IFERROR(VLOOKUP(J519,'Inadimplencia - FEV 2025'!$A$5:$E$85,4,0),"0")</f>
        <v>0</v>
      </c>
      <c r="L519" s="6" t="str">
        <f>IFERROR(VLOOKUP(J519,'Inadimplencia - Out 2025'!$A$5:$E$85,4,0),"0")</f>
        <v>0</v>
      </c>
      <c r="M519" s="31">
        <f t="shared" ref="M519:M582" si="23">L519-K519</f>
        <v>0</v>
      </c>
      <c r="N519" s="5"/>
    </row>
    <row r="520" spans="1:14" x14ac:dyDescent="0.25">
      <c r="A520" s="38"/>
      <c r="B520" s="16" t="s">
        <v>1068</v>
      </c>
      <c r="C520" s="17" t="s">
        <v>1055</v>
      </c>
      <c r="D520" s="17" t="s">
        <v>951</v>
      </c>
      <c r="E520" s="18">
        <v>54</v>
      </c>
      <c r="F520" s="18">
        <v>3</v>
      </c>
      <c r="G520" s="17" t="s">
        <v>118</v>
      </c>
      <c r="H520" s="18">
        <v>12</v>
      </c>
      <c r="I520" s="19"/>
      <c r="J520" s="4" t="str">
        <f t="shared" si="22"/>
        <v>PI054</v>
      </c>
      <c r="K520" s="6" t="str">
        <f>IFERROR(VLOOKUP(J520,'Inadimplencia - FEV 2025'!$A$5:$E$85,4,0),"0")</f>
        <v>0</v>
      </c>
      <c r="L520" s="6" t="str">
        <f>IFERROR(VLOOKUP(J520,'Inadimplencia - Out 2025'!$A$5:$E$85,4,0),"0")</f>
        <v>0</v>
      </c>
      <c r="M520" s="31">
        <f t="shared" si="23"/>
        <v>0</v>
      </c>
      <c r="N520" s="5"/>
    </row>
    <row r="521" spans="1:14" x14ac:dyDescent="0.25">
      <c r="A521" s="38"/>
      <c r="B521" s="20" t="s">
        <v>1070</v>
      </c>
      <c r="C521" s="17" t="s">
        <v>1057</v>
      </c>
      <c r="D521" s="17" t="s">
        <v>951</v>
      </c>
      <c r="E521" s="18">
        <v>55</v>
      </c>
      <c r="F521" s="18">
        <v>2</v>
      </c>
      <c r="G521" s="17" t="s">
        <v>118</v>
      </c>
      <c r="H521" s="18">
        <v>8</v>
      </c>
      <c r="I521" s="19"/>
      <c r="J521" s="4" t="str">
        <f t="shared" si="22"/>
        <v>PI055</v>
      </c>
      <c r="K521" s="6" t="str">
        <f>IFERROR(VLOOKUP(J521,'Inadimplencia - FEV 2025'!$A$5:$E$85,4,0),"0")</f>
        <v>0</v>
      </c>
      <c r="L521" s="6" t="str">
        <f>IFERROR(VLOOKUP(J521,'Inadimplencia - Out 2025'!$A$5:$E$85,4,0),"0")</f>
        <v>0</v>
      </c>
      <c r="M521" s="31">
        <f t="shared" si="23"/>
        <v>0</v>
      </c>
      <c r="N521" s="5"/>
    </row>
    <row r="522" spans="1:14" x14ac:dyDescent="0.25">
      <c r="A522" s="38"/>
      <c r="B522" s="20" t="s">
        <v>1072</v>
      </c>
      <c r="C522" s="17" t="s">
        <v>1059</v>
      </c>
      <c r="D522" s="17" t="s">
        <v>951</v>
      </c>
      <c r="E522" s="18">
        <v>58</v>
      </c>
      <c r="F522" s="18">
        <v>2</v>
      </c>
      <c r="G522" s="17" t="s">
        <v>118</v>
      </c>
      <c r="H522" s="18">
        <v>8</v>
      </c>
      <c r="I522" s="19"/>
      <c r="J522" s="4" t="str">
        <f t="shared" si="22"/>
        <v>PI058</v>
      </c>
      <c r="K522" s="6" t="str">
        <f>IFERROR(VLOOKUP(J522,'Inadimplencia - FEV 2025'!$A$5:$E$85,4,0),"0")</f>
        <v>0</v>
      </c>
      <c r="L522" s="6" t="str">
        <f>IFERROR(VLOOKUP(J522,'Inadimplencia - Out 2025'!$A$5:$E$85,4,0),"0")</f>
        <v>0</v>
      </c>
      <c r="M522" s="31">
        <f t="shared" si="23"/>
        <v>0</v>
      </c>
      <c r="N522" s="5"/>
    </row>
    <row r="523" spans="1:14" x14ac:dyDescent="0.25">
      <c r="A523" s="38"/>
      <c r="B523" s="16" t="s">
        <v>1074</v>
      </c>
      <c r="C523" s="21" t="s">
        <v>1061</v>
      </c>
      <c r="D523" s="21" t="s">
        <v>951</v>
      </c>
      <c r="E523" s="22">
        <v>59</v>
      </c>
      <c r="F523" s="22">
        <v>2</v>
      </c>
      <c r="G523" s="21" t="s">
        <v>118</v>
      </c>
      <c r="H523" s="22">
        <v>8</v>
      </c>
      <c r="I523" s="19"/>
      <c r="J523" s="4" t="str">
        <f t="shared" si="22"/>
        <v>PI059</v>
      </c>
      <c r="K523" s="6" t="str">
        <f>IFERROR(VLOOKUP(J523,'Inadimplencia - FEV 2025'!$A$5:$E$85,4,0),"0")</f>
        <v>0</v>
      </c>
      <c r="L523" s="6" t="str">
        <f>IFERROR(VLOOKUP(J523,'Inadimplencia - Out 2025'!$A$5:$E$85,4,0),"0")</f>
        <v>0</v>
      </c>
      <c r="M523" s="31">
        <f t="shared" si="23"/>
        <v>0</v>
      </c>
      <c r="N523" s="5"/>
    </row>
    <row r="524" spans="1:14" x14ac:dyDescent="0.25">
      <c r="A524" s="38"/>
      <c r="B524" s="20" t="s">
        <v>1076</v>
      </c>
      <c r="C524" s="17" t="s">
        <v>1063</v>
      </c>
      <c r="D524" s="17" t="s">
        <v>951</v>
      </c>
      <c r="E524" s="18">
        <v>60</v>
      </c>
      <c r="F524" s="18">
        <v>2</v>
      </c>
      <c r="G524" s="17" t="s">
        <v>118</v>
      </c>
      <c r="H524" s="18">
        <v>8</v>
      </c>
      <c r="I524" s="19"/>
      <c r="J524" s="4" t="str">
        <f t="shared" si="22"/>
        <v>PI060</v>
      </c>
      <c r="K524" s="6" t="str">
        <f>IFERROR(VLOOKUP(J524,'Inadimplencia - FEV 2025'!$A$5:$E$85,4,0),"0")</f>
        <v>0</v>
      </c>
      <c r="L524" s="6" t="str">
        <f>IFERROR(VLOOKUP(J524,'Inadimplencia - Out 2025'!$A$5:$E$85,4,0),"0")</f>
        <v>0</v>
      </c>
      <c r="M524" s="31">
        <f t="shared" si="23"/>
        <v>0</v>
      </c>
      <c r="N524" s="5"/>
    </row>
    <row r="525" spans="1:14" x14ac:dyDescent="0.25">
      <c r="A525" s="38"/>
      <c r="B525" s="16" t="s">
        <v>1078</v>
      </c>
      <c r="C525" s="21" t="s">
        <v>1065</v>
      </c>
      <c r="D525" s="21" t="s">
        <v>951</v>
      </c>
      <c r="E525" s="22">
        <v>61</v>
      </c>
      <c r="F525" s="22">
        <v>2</v>
      </c>
      <c r="G525" s="21" t="s">
        <v>118</v>
      </c>
      <c r="H525" s="22">
        <v>8</v>
      </c>
      <c r="I525" s="19"/>
      <c r="J525" s="4" t="str">
        <f t="shared" si="22"/>
        <v>PI061</v>
      </c>
      <c r="K525" s="6" t="str">
        <f>IFERROR(VLOOKUP(J525,'Inadimplencia - FEV 2025'!$A$5:$E$85,4,0),"0")</f>
        <v>0</v>
      </c>
      <c r="L525" s="6" t="str">
        <f>IFERROR(VLOOKUP(J525,'Inadimplencia - Out 2025'!$A$5:$E$85,4,0),"0")</f>
        <v>0</v>
      </c>
      <c r="M525" s="31">
        <f t="shared" si="23"/>
        <v>0</v>
      </c>
      <c r="N525" s="5"/>
    </row>
    <row r="526" spans="1:14" ht="25.5" x14ac:dyDescent="0.25">
      <c r="A526" s="38"/>
      <c r="B526" s="16" t="s">
        <v>1080</v>
      </c>
      <c r="C526" s="17" t="s">
        <v>1067</v>
      </c>
      <c r="D526" s="17" t="s">
        <v>951</v>
      </c>
      <c r="E526" s="18">
        <v>62</v>
      </c>
      <c r="F526" s="18">
        <v>2</v>
      </c>
      <c r="G526" s="17" t="s">
        <v>118</v>
      </c>
      <c r="H526" s="18">
        <v>8</v>
      </c>
      <c r="I526" s="19"/>
      <c r="J526" s="4" t="str">
        <f t="shared" si="22"/>
        <v>PI062</v>
      </c>
      <c r="K526" s="6" t="str">
        <f>IFERROR(VLOOKUP(J526,'Inadimplencia - FEV 2025'!$A$5:$E$85,4,0),"0")</f>
        <v>0</v>
      </c>
      <c r="L526" s="6" t="str">
        <f>IFERROR(VLOOKUP(J526,'Inadimplencia - Out 2025'!$A$5:$E$85,4,0),"0")</f>
        <v>0</v>
      </c>
      <c r="M526" s="31">
        <f t="shared" si="23"/>
        <v>0</v>
      </c>
      <c r="N526" s="5"/>
    </row>
    <row r="527" spans="1:14" x14ac:dyDescent="0.25">
      <c r="A527" s="38"/>
      <c r="B527" s="16" t="s">
        <v>1082</v>
      </c>
      <c r="C527" s="17" t="s">
        <v>859</v>
      </c>
      <c r="D527" s="17" t="s">
        <v>951</v>
      </c>
      <c r="E527" s="18">
        <v>63</v>
      </c>
      <c r="F527" s="18">
        <v>2</v>
      </c>
      <c r="G527" s="17" t="s">
        <v>133</v>
      </c>
      <c r="H527" s="18">
        <v>8</v>
      </c>
      <c r="I527" s="19"/>
      <c r="J527" s="4" t="str">
        <f t="shared" si="22"/>
        <v>PI063</v>
      </c>
      <c r="K527" s="6" t="str">
        <f>IFERROR(VLOOKUP(J527,'Inadimplencia - FEV 2025'!$A$5:$E$85,4,0),"0")</f>
        <v>0</v>
      </c>
      <c r="L527" s="6" t="str">
        <f>IFERROR(VLOOKUP(J527,'Inadimplencia - Out 2025'!$A$5:$E$85,4,0),"0")</f>
        <v>0</v>
      </c>
      <c r="M527" s="31">
        <f t="shared" si="23"/>
        <v>0</v>
      </c>
      <c r="N527" s="5"/>
    </row>
    <row r="528" spans="1:14" x14ac:dyDescent="0.25">
      <c r="A528" s="38"/>
      <c r="B528" s="20" t="s">
        <v>1084</v>
      </c>
      <c r="C528" s="17" t="s">
        <v>1069</v>
      </c>
      <c r="D528" s="17" t="s">
        <v>951</v>
      </c>
      <c r="E528" s="18">
        <v>64</v>
      </c>
      <c r="F528" s="18">
        <v>2</v>
      </c>
      <c r="G528" s="17" t="s">
        <v>118</v>
      </c>
      <c r="H528" s="18">
        <v>8</v>
      </c>
      <c r="I528" s="19"/>
      <c r="J528" s="4" t="str">
        <f t="shared" si="22"/>
        <v>PI064</v>
      </c>
      <c r="K528" s="6" t="str">
        <f>IFERROR(VLOOKUP(J528,'Inadimplencia - FEV 2025'!$A$5:$E$85,4,0),"0")</f>
        <v>0</v>
      </c>
      <c r="L528" s="6" t="str">
        <f>IFERROR(VLOOKUP(J528,'Inadimplencia - Out 2025'!$A$5:$E$85,4,0),"0")</f>
        <v>0</v>
      </c>
      <c r="M528" s="31">
        <f t="shared" si="23"/>
        <v>0</v>
      </c>
      <c r="N528" s="5"/>
    </row>
    <row r="529" spans="1:14" x14ac:dyDescent="0.25">
      <c r="A529" s="38"/>
      <c r="B529" s="20" t="s">
        <v>1086</v>
      </c>
      <c r="C529" s="21" t="s">
        <v>1071</v>
      </c>
      <c r="D529" s="21" t="s">
        <v>951</v>
      </c>
      <c r="E529" s="22">
        <v>65</v>
      </c>
      <c r="F529" s="22">
        <v>2</v>
      </c>
      <c r="G529" s="21" t="s">
        <v>118</v>
      </c>
      <c r="H529" s="22">
        <v>8</v>
      </c>
      <c r="I529" s="19"/>
      <c r="J529" s="4" t="str">
        <f t="shared" si="22"/>
        <v>PI065</v>
      </c>
      <c r="K529" s="6" t="str">
        <f>IFERROR(VLOOKUP(J529,'Inadimplencia - FEV 2025'!$A$5:$E$85,4,0),"0")</f>
        <v>0</v>
      </c>
      <c r="L529" s="6" t="str">
        <f>IFERROR(VLOOKUP(J529,'Inadimplencia - Out 2025'!$A$5:$E$85,4,0),"0")</f>
        <v>0</v>
      </c>
      <c r="M529" s="31">
        <f t="shared" si="23"/>
        <v>0</v>
      </c>
      <c r="N529" s="5"/>
    </row>
    <row r="530" spans="1:14" ht="25.5" x14ac:dyDescent="0.25">
      <c r="A530" s="38"/>
      <c r="B530" s="20" t="s">
        <v>1088</v>
      </c>
      <c r="C530" s="21" t="s">
        <v>1073</v>
      </c>
      <c r="D530" s="21" t="s">
        <v>951</v>
      </c>
      <c r="E530" s="22">
        <v>66</v>
      </c>
      <c r="F530" s="22">
        <v>2</v>
      </c>
      <c r="G530" s="21" t="s">
        <v>118</v>
      </c>
      <c r="H530" s="22">
        <v>8</v>
      </c>
      <c r="I530" s="19"/>
      <c r="J530" s="4" t="str">
        <f t="shared" si="22"/>
        <v>PI066</v>
      </c>
      <c r="K530" s="6" t="str">
        <f>IFERROR(VLOOKUP(J530,'Inadimplencia - FEV 2025'!$A$5:$E$85,4,0),"0")</f>
        <v>0</v>
      </c>
      <c r="L530" s="6" t="str">
        <f>IFERROR(VLOOKUP(J530,'Inadimplencia - Out 2025'!$A$5:$E$85,4,0),"0")</f>
        <v>0</v>
      </c>
      <c r="M530" s="31">
        <f t="shared" si="23"/>
        <v>0</v>
      </c>
      <c r="N530" s="5"/>
    </row>
    <row r="531" spans="1:14" x14ac:dyDescent="0.25">
      <c r="A531" s="38"/>
      <c r="B531" s="20" t="s">
        <v>1090</v>
      </c>
      <c r="C531" s="17" t="s">
        <v>1075</v>
      </c>
      <c r="D531" s="17" t="s">
        <v>951</v>
      </c>
      <c r="E531" s="18">
        <v>67</v>
      </c>
      <c r="F531" s="18">
        <v>2</v>
      </c>
      <c r="G531" s="17" t="s">
        <v>118</v>
      </c>
      <c r="H531" s="18">
        <v>8</v>
      </c>
      <c r="I531" s="19"/>
      <c r="J531" s="4" t="str">
        <f t="shared" si="22"/>
        <v>PI067</v>
      </c>
      <c r="K531" s="6" t="str">
        <f>IFERROR(VLOOKUP(J531,'Inadimplencia - FEV 2025'!$A$5:$E$85,4,0),"0")</f>
        <v>0</v>
      </c>
      <c r="L531" s="6" t="str">
        <f>IFERROR(VLOOKUP(J531,'Inadimplencia - Out 2025'!$A$5:$E$85,4,0),"0")</f>
        <v>0</v>
      </c>
      <c r="M531" s="31">
        <f t="shared" si="23"/>
        <v>0</v>
      </c>
      <c r="N531" s="5"/>
    </row>
    <row r="532" spans="1:14" x14ac:dyDescent="0.25">
      <c r="A532" s="38"/>
      <c r="B532" s="20" t="s">
        <v>1092</v>
      </c>
      <c r="C532" s="21" t="s">
        <v>1077</v>
      </c>
      <c r="D532" s="21" t="s">
        <v>951</v>
      </c>
      <c r="E532" s="22">
        <v>68</v>
      </c>
      <c r="F532" s="22">
        <v>2</v>
      </c>
      <c r="G532" s="21" t="s">
        <v>118</v>
      </c>
      <c r="H532" s="22">
        <v>8</v>
      </c>
      <c r="I532" s="19"/>
      <c r="J532" s="4" t="str">
        <f t="shared" si="22"/>
        <v>PI068</v>
      </c>
      <c r="K532" s="6" t="str">
        <f>IFERROR(VLOOKUP(J532,'Inadimplencia - FEV 2025'!$A$5:$E$85,4,0),"0")</f>
        <v>0</v>
      </c>
      <c r="L532" s="6" t="str">
        <f>IFERROR(VLOOKUP(J532,'Inadimplencia - Out 2025'!$A$5:$E$85,4,0),"0")</f>
        <v>0</v>
      </c>
      <c r="M532" s="31">
        <f t="shared" si="23"/>
        <v>0</v>
      </c>
      <c r="N532" s="5"/>
    </row>
    <row r="533" spans="1:14" x14ac:dyDescent="0.25">
      <c r="A533" s="38"/>
      <c r="B533" s="16" t="s">
        <v>1094</v>
      </c>
      <c r="C533" s="17" t="s">
        <v>1081</v>
      </c>
      <c r="D533" s="17" t="s">
        <v>951</v>
      </c>
      <c r="E533" s="18">
        <v>70</v>
      </c>
      <c r="F533" s="18">
        <v>2</v>
      </c>
      <c r="G533" s="17" t="s">
        <v>118</v>
      </c>
      <c r="H533" s="18">
        <v>8</v>
      </c>
      <c r="I533" s="19"/>
      <c r="J533" s="4" t="str">
        <f t="shared" si="22"/>
        <v>PI070</v>
      </c>
      <c r="K533" s="6" t="str">
        <f>IFERROR(VLOOKUP(J533,'Inadimplencia - FEV 2025'!$A$5:$E$85,4,0),"0")</f>
        <v>0</v>
      </c>
      <c r="L533" s="6" t="str">
        <f>IFERROR(VLOOKUP(J533,'Inadimplencia - Out 2025'!$A$5:$E$85,4,0),"0")</f>
        <v>0</v>
      </c>
      <c r="M533" s="31">
        <f t="shared" si="23"/>
        <v>0</v>
      </c>
      <c r="N533" s="5"/>
    </row>
    <row r="534" spans="1:14" x14ac:dyDescent="0.25">
      <c r="A534" s="38"/>
      <c r="B534" s="16" t="s">
        <v>1096</v>
      </c>
      <c r="C534" s="21" t="s">
        <v>1091</v>
      </c>
      <c r="D534" s="21" t="s">
        <v>951</v>
      </c>
      <c r="E534" s="22">
        <v>75</v>
      </c>
      <c r="F534" s="22">
        <v>2</v>
      </c>
      <c r="G534" s="21" t="s">
        <v>118</v>
      </c>
      <c r="H534" s="22">
        <v>8</v>
      </c>
      <c r="I534" s="19"/>
      <c r="J534" s="4" t="str">
        <f t="shared" si="22"/>
        <v>PI075</v>
      </c>
      <c r="K534" s="6" t="str">
        <f>IFERROR(VLOOKUP(J534,'Inadimplencia - FEV 2025'!$A$5:$E$85,4,0),"0")</f>
        <v>0</v>
      </c>
      <c r="L534" s="6" t="str">
        <f>IFERROR(VLOOKUP(J534,'Inadimplencia - Out 2025'!$A$5:$E$85,4,0),"0")</f>
        <v>0</v>
      </c>
      <c r="M534" s="31">
        <f t="shared" si="23"/>
        <v>0</v>
      </c>
      <c r="N534" s="5"/>
    </row>
    <row r="535" spans="1:14" x14ac:dyDescent="0.25">
      <c r="A535" s="38"/>
      <c r="B535" s="20" t="s">
        <v>1098</v>
      </c>
      <c r="C535" s="21" t="s">
        <v>1093</v>
      </c>
      <c r="D535" s="21" t="s">
        <v>951</v>
      </c>
      <c r="E535" s="22">
        <v>76</v>
      </c>
      <c r="F535" s="22">
        <v>2</v>
      </c>
      <c r="G535" s="21" t="s">
        <v>118</v>
      </c>
      <c r="H535" s="22">
        <v>8</v>
      </c>
      <c r="I535" s="19"/>
      <c r="J535" s="4" t="str">
        <f t="shared" si="22"/>
        <v>PI076</v>
      </c>
      <c r="K535" s="6" t="str">
        <f>IFERROR(VLOOKUP(J535,'Inadimplencia - FEV 2025'!$A$5:$E$85,4,0),"0")</f>
        <v>0</v>
      </c>
      <c r="L535" s="6" t="str">
        <f>IFERROR(VLOOKUP(J535,'Inadimplencia - Out 2025'!$A$5:$E$85,4,0),"0")</f>
        <v>0</v>
      </c>
      <c r="M535" s="31">
        <f t="shared" si="23"/>
        <v>0</v>
      </c>
      <c r="N535" s="5"/>
    </row>
    <row r="536" spans="1:14" x14ac:dyDescent="0.25">
      <c r="A536" s="38"/>
      <c r="B536" s="20" t="s">
        <v>1100</v>
      </c>
      <c r="C536" s="17" t="s">
        <v>1097</v>
      </c>
      <c r="D536" s="17" t="s">
        <v>951</v>
      </c>
      <c r="E536" s="18">
        <v>78</v>
      </c>
      <c r="F536" s="18">
        <v>2</v>
      </c>
      <c r="G536" s="17" t="s">
        <v>118</v>
      </c>
      <c r="H536" s="18">
        <v>8</v>
      </c>
      <c r="I536" s="19"/>
      <c r="J536" s="4" t="str">
        <f t="shared" si="22"/>
        <v>PI078</v>
      </c>
      <c r="K536" s="6" t="str">
        <f>IFERROR(VLOOKUP(J536,'Inadimplencia - FEV 2025'!$A$5:$E$85,4,0),"0")</f>
        <v>0</v>
      </c>
      <c r="L536" s="6" t="str">
        <f>IFERROR(VLOOKUP(J536,'Inadimplencia - Out 2025'!$A$5:$E$85,4,0),"0")</f>
        <v>0</v>
      </c>
      <c r="M536" s="31">
        <f t="shared" si="23"/>
        <v>0</v>
      </c>
      <c r="N536" s="5"/>
    </row>
    <row r="537" spans="1:14" x14ac:dyDescent="0.25">
      <c r="A537" s="38"/>
      <c r="B537" s="20" t="s">
        <v>1102</v>
      </c>
      <c r="C537" s="21" t="s">
        <v>1103</v>
      </c>
      <c r="D537" s="21" t="s">
        <v>951</v>
      </c>
      <c r="E537" s="22">
        <v>81</v>
      </c>
      <c r="F537" s="22">
        <v>2</v>
      </c>
      <c r="G537" s="21" t="s">
        <v>118</v>
      </c>
      <c r="H537" s="22">
        <v>8</v>
      </c>
      <c r="I537" s="19"/>
      <c r="J537" s="4" t="str">
        <f t="shared" si="22"/>
        <v>PI081</v>
      </c>
      <c r="K537" s="6" t="str">
        <f>IFERROR(VLOOKUP(J537,'Inadimplencia - FEV 2025'!$A$5:$E$85,4,0),"0")</f>
        <v>0</v>
      </c>
      <c r="L537" s="6" t="str">
        <f>IFERROR(VLOOKUP(J537,'Inadimplencia - Out 2025'!$A$5:$E$85,4,0),"0")</f>
        <v>0</v>
      </c>
      <c r="M537" s="31">
        <f t="shared" si="23"/>
        <v>0</v>
      </c>
      <c r="N537" s="5"/>
    </row>
    <row r="538" spans="1:14" x14ac:dyDescent="0.25">
      <c r="A538" s="38"/>
      <c r="B538" s="20" t="s">
        <v>1104</v>
      </c>
      <c r="C538" s="21" t="s">
        <v>1105</v>
      </c>
      <c r="D538" s="21" t="s">
        <v>951</v>
      </c>
      <c r="E538" s="22">
        <v>82</v>
      </c>
      <c r="F538" s="22">
        <v>2</v>
      </c>
      <c r="G538" s="21" t="s">
        <v>118</v>
      </c>
      <c r="H538" s="22">
        <v>8</v>
      </c>
      <c r="I538" s="19"/>
      <c r="J538" s="4" t="str">
        <f t="shared" si="22"/>
        <v>PI082</v>
      </c>
      <c r="K538" s="6" t="str">
        <f>IFERROR(VLOOKUP(J538,'Inadimplencia - FEV 2025'!$A$5:$E$85,4,0),"0")</f>
        <v>0</v>
      </c>
      <c r="L538" s="6" t="str">
        <f>IFERROR(VLOOKUP(J538,'Inadimplencia - Out 2025'!$A$5:$E$85,4,0),"0")</f>
        <v>0</v>
      </c>
      <c r="M538" s="31">
        <f t="shared" si="23"/>
        <v>0</v>
      </c>
      <c r="N538" s="5"/>
    </row>
    <row r="539" spans="1:14" x14ac:dyDescent="0.25">
      <c r="A539" s="38"/>
      <c r="B539" s="16" t="s">
        <v>1106</v>
      </c>
      <c r="C539" s="17" t="s">
        <v>1107</v>
      </c>
      <c r="D539" s="17" t="s">
        <v>951</v>
      </c>
      <c r="E539" s="18">
        <v>83</v>
      </c>
      <c r="F539" s="18">
        <v>2</v>
      </c>
      <c r="G539" s="17" t="s">
        <v>118</v>
      </c>
      <c r="H539" s="18">
        <v>8</v>
      </c>
      <c r="I539" s="19"/>
      <c r="J539" s="4" t="str">
        <f t="shared" si="22"/>
        <v>PI083</v>
      </c>
      <c r="K539" s="6" t="str">
        <f>IFERROR(VLOOKUP(J539,'Inadimplencia - FEV 2025'!$A$5:$E$85,4,0),"0")</f>
        <v>0</v>
      </c>
      <c r="L539" s="6" t="str">
        <f>IFERROR(VLOOKUP(J539,'Inadimplencia - Out 2025'!$A$5:$E$85,4,0),"0")</f>
        <v>0</v>
      </c>
      <c r="M539" s="31">
        <f t="shared" si="23"/>
        <v>0</v>
      </c>
      <c r="N539" s="5"/>
    </row>
    <row r="540" spans="1:14" x14ac:dyDescent="0.25">
      <c r="A540" s="38"/>
      <c r="B540" s="16" t="s">
        <v>1108</v>
      </c>
      <c r="C540" s="17" t="s">
        <v>1109</v>
      </c>
      <c r="D540" s="17" t="s">
        <v>951</v>
      </c>
      <c r="E540" s="18">
        <v>84</v>
      </c>
      <c r="F540" s="18">
        <v>2</v>
      </c>
      <c r="G540" s="17" t="s">
        <v>118</v>
      </c>
      <c r="H540" s="18">
        <v>8</v>
      </c>
      <c r="I540" s="19"/>
      <c r="J540" s="4" t="str">
        <f t="shared" ref="J540:J550" si="24">"PI" &amp; TEXT(E540, "000")</f>
        <v>PI084</v>
      </c>
      <c r="K540" s="6" t="str">
        <f>IFERROR(VLOOKUP(J540,'Inadimplencia - FEV 2025'!$A$5:$E$85,4,0),"0")</f>
        <v>0</v>
      </c>
      <c r="L540" s="6" t="str">
        <f>IFERROR(VLOOKUP(J540,'Inadimplencia - Out 2025'!$A$5:$E$85,4,0),"0")</f>
        <v>0</v>
      </c>
      <c r="M540" s="31">
        <f t="shared" si="23"/>
        <v>0</v>
      </c>
      <c r="N540" s="5"/>
    </row>
    <row r="541" spans="1:14" x14ac:dyDescent="0.25">
      <c r="A541" s="38"/>
      <c r="B541" s="16" t="s">
        <v>1110</v>
      </c>
      <c r="C541" s="17" t="s">
        <v>1111</v>
      </c>
      <c r="D541" s="17" t="s">
        <v>951</v>
      </c>
      <c r="E541" s="18">
        <v>85</v>
      </c>
      <c r="F541" s="18">
        <v>2</v>
      </c>
      <c r="G541" s="17" t="s">
        <v>118</v>
      </c>
      <c r="H541" s="18">
        <v>8</v>
      </c>
      <c r="I541" s="19"/>
      <c r="J541" s="4" t="str">
        <f t="shared" si="24"/>
        <v>PI085</v>
      </c>
      <c r="K541" s="6" t="str">
        <f>IFERROR(VLOOKUP(J541,'Inadimplencia - FEV 2025'!$A$5:$E$85,4,0),"0")</f>
        <v>0</v>
      </c>
      <c r="L541" s="6" t="str">
        <f>IFERROR(VLOOKUP(J541,'Inadimplencia - Out 2025'!$A$5:$E$85,4,0),"0")</f>
        <v>0</v>
      </c>
      <c r="M541" s="31">
        <f t="shared" si="23"/>
        <v>0</v>
      </c>
      <c r="N541" s="5"/>
    </row>
    <row r="542" spans="1:14" x14ac:dyDescent="0.25">
      <c r="A542" s="38"/>
      <c r="B542" s="16" t="s">
        <v>1112</v>
      </c>
      <c r="C542" s="17" t="s">
        <v>1113</v>
      </c>
      <c r="D542" s="17" t="s">
        <v>951</v>
      </c>
      <c r="E542" s="18">
        <v>86</v>
      </c>
      <c r="F542" s="18">
        <v>2</v>
      </c>
      <c r="G542" s="17" t="s">
        <v>118</v>
      </c>
      <c r="H542" s="18">
        <v>8</v>
      </c>
      <c r="I542" s="19"/>
      <c r="J542" s="4" t="str">
        <f t="shared" si="24"/>
        <v>PI086</v>
      </c>
      <c r="K542" s="6" t="str">
        <f>IFERROR(VLOOKUP(J542,'Inadimplencia - FEV 2025'!$A$5:$E$85,4,0),"0")</f>
        <v>0</v>
      </c>
      <c r="L542" s="6" t="str">
        <f>IFERROR(VLOOKUP(J542,'Inadimplencia - Out 2025'!$A$5:$E$85,4,0),"0")</f>
        <v>0</v>
      </c>
      <c r="M542" s="31">
        <f t="shared" si="23"/>
        <v>0</v>
      </c>
      <c r="N542" s="5"/>
    </row>
    <row r="543" spans="1:14" x14ac:dyDescent="0.25">
      <c r="A543" s="38"/>
      <c r="B543" s="16" t="s">
        <v>1114</v>
      </c>
      <c r="C543" s="17" t="s">
        <v>1115</v>
      </c>
      <c r="D543" s="17" t="s">
        <v>951</v>
      </c>
      <c r="E543" s="18">
        <v>87</v>
      </c>
      <c r="F543" s="18">
        <v>2</v>
      </c>
      <c r="G543" s="17" t="s">
        <v>118</v>
      </c>
      <c r="H543" s="18">
        <v>8</v>
      </c>
      <c r="I543" s="19"/>
      <c r="J543" s="4" t="str">
        <f t="shared" si="24"/>
        <v>PI087</v>
      </c>
      <c r="K543" s="6" t="str">
        <f>IFERROR(VLOOKUP(J543,'Inadimplencia - FEV 2025'!$A$5:$E$85,4,0),"0")</f>
        <v>0</v>
      </c>
      <c r="L543" s="6" t="str">
        <f>IFERROR(VLOOKUP(J543,'Inadimplencia - Out 2025'!$A$5:$E$85,4,0),"0")</f>
        <v>0</v>
      </c>
      <c r="M543" s="31">
        <f t="shared" si="23"/>
        <v>0</v>
      </c>
      <c r="N543" s="5"/>
    </row>
    <row r="544" spans="1:14" x14ac:dyDescent="0.25">
      <c r="A544" s="38"/>
      <c r="B544" s="16" t="s">
        <v>1116</v>
      </c>
      <c r="C544" s="17" t="s">
        <v>1117</v>
      </c>
      <c r="D544" s="17" t="s">
        <v>951</v>
      </c>
      <c r="E544" s="18">
        <v>88</v>
      </c>
      <c r="F544" s="18">
        <v>2</v>
      </c>
      <c r="G544" s="17" t="s">
        <v>118</v>
      </c>
      <c r="H544" s="18">
        <v>8</v>
      </c>
      <c r="I544" s="19"/>
      <c r="J544" s="4" t="str">
        <f t="shared" si="24"/>
        <v>PI088</v>
      </c>
      <c r="K544" s="6" t="str">
        <f>IFERROR(VLOOKUP(J544,'Inadimplencia - FEV 2025'!$A$5:$E$85,4,0),"0")</f>
        <v>0</v>
      </c>
      <c r="L544" s="6" t="str">
        <f>IFERROR(VLOOKUP(J544,'Inadimplencia - Out 2025'!$A$5:$E$85,4,0),"0")</f>
        <v>0</v>
      </c>
      <c r="M544" s="31">
        <f t="shared" si="23"/>
        <v>0</v>
      </c>
      <c r="N544" s="5"/>
    </row>
    <row r="545" spans="1:14" x14ac:dyDescent="0.25">
      <c r="A545" s="38"/>
      <c r="B545" s="20" t="s">
        <v>1118</v>
      </c>
      <c r="C545" s="21" t="s">
        <v>1119</v>
      </c>
      <c r="D545" s="21" t="s">
        <v>951</v>
      </c>
      <c r="E545" s="22">
        <v>89</v>
      </c>
      <c r="F545" s="22">
        <v>2</v>
      </c>
      <c r="G545" s="21" t="s">
        <v>118</v>
      </c>
      <c r="H545" s="22">
        <v>8</v>
      </c>
      <c r="I545" s="19"/>
      <c r="J545" s="4" t="str">
        <f t="shared" si="24"/>
        <v>PI089</v>
      </c>
      <c r="K545" s="6" t="str">
        <f>IFERROR(VLOOKUP(J545,'Inadimplencia - FEV 2025'!$A$5:$E$85,4,0),"0")</f>
        <v>0</v>
      </c>
      <c r="L545" s="6" t="str">
        <f>IFERROR(VLOOKUP(J545,'Inadimplencia - Out 2025'!$A$5:$E$85,4,0),"0")</f>
        <v>0</v>
      </c>
      <c r="M545" s="31">
        <f t="shared" si="23"/>
        <v>0</v>
      </c>
      <c r="N545" s="5"/>
    </row>
    <row r="546" spans="1:14" x14ac:dyDescent="0.25">
      <c r="A546" s="38"/>
      <c r="B546" s="16" t="s">
        <v>1120</v>
      </c>
      <c r="C546" s="17" t="s">
        <v>1121</v>
      </c>
      <c r="D546" s="17" t="s">
        <v>951</v>
      </c>
      <c r="E546" s="18">
        <v>90</v>
      </c>
      <c r="F546" s="18">
        <v>2</v>
      </c>
      <c r="G546" s="17" t="s">
        <v>118</v>
      </c>
      <c r="H546" s="18">
        <v>8</v>
      </c>
      <c r="I546" s="19"/>
      <c r="J546" s="4" t="str">
        <f t="shared" si="24"/>
        <v>PI090</v>
      </c>
      <c r="K546" s="6" t="str">
        <f>IFERROR(VLOOKUP(J546,'Inadimplencia - FEV 2025'!$A$5:$E$85,4,0),"0")</f>
        <v>0</v>
      </c>
      <c r="L546" s="6" t="str">
        <f>IFERROR(VLOOKUP(J546,'Inadimplencia - Out 2025'!$A$5:$E$85,4,0),"0")</f>
        <v>0</v>
      </c>
      <c r="M546" s="31">
        <f t="shared" si="23"/>
        <v>0</v>
      </c>
      <c r="N546" s="5"/>
    </row>
    <row r="547" spans="1:14" x14ac:dyDescent="0.25">
      <c r="A547" s="38"/>
      <c r="B547" s="16" t="s">
        <v>1122</v>
      </c>
      <c r="C547" s="17" t="s">
        <v>1123</v>
      </c>
      <c r="D547" s="17" t="s">
        <v>951</v>
      </c>
      <c r="E547" s="18">
        <v>91</v>
      </c>
      <c r="F547" s="18">
        <v>2</v>
      </c>
      <c r="G547" s="17" t="s">
        <v>118</v>
      </c>
      <c r="H547" s="18">
        <v>8</v>
      </c>
      <c r="I547" s="19"/>
      <c r="J547" s="4" t="str">
        <f t="shared" si="24"/>
        <v>PI091</v>
      </c>
      <c r="K547" s="6" t="str">
        <f>IFERROR(VLOOKUP(J547,'Inadimplencia - FEV 2025'!$A$5:$E$85,4,0),"0")</f>
        <v>0</v>
      </c>
      <c r="L547" s="6" t="str">
        <f>IFERROR(VLOOKUP(J547,'Inadimplencia - Out 2025'!$A$5:$E$85,4,0),"0")</f>
        <v>0</v>
      </c>
      <c r="M547" s="31">
        <f t="shared" si="23"/>
        <v>0</v>
      </c>
      <c r="N547" s="5"/>
    </row>
    <row r="548" spans="1:14" x14ac:dyDescent="0.25">
      <c r="A548" s="38"/>
      <c r="B548" s="16" t="s">
        <v>1124</v>
      </c>
      <c r="C548" s="17" t="s">
        <v>1125</v>
      </c>
      <c r="D548" s="17" t="s">
        <v>951</v>
      </c>
      <c r="E548" s="18">
        <v>92</v>
      </c>
      <c r="F548" s="18">
        <v>2</v>
      </c>
      <c r="G548" s="17" t="s">
        <v>118</v>
      </c>
      <c r="H548" s="18">
        <v>8</v>
      </c>
      <c r="I548" s="19"/>
      <c r="J548" s="4" t="str">
        <f t="shared" si="24"/>
        <v>PI092</v>
      </c>
      <c r="K548" s="6" t="str">
        <f>IFERROR(VLOOKUP(J548,'Inadimplencia - FEV 2025'!$A$5:$E$85,4,0),"0")</f>
        <v>0</v>
      </c>
      <c r="L548" s="6" t="str">
        <f>IFERROR(VLOOKUP(J548,'Inadimplencia - Out 2025'!$A$5:$E$85,4,0),"0")</f>
        <v>0</v>
      </c>
      <c r="M548" s="31">
        <f t="shared" si="23"/>
        <v>0</v>
      </c>
      <c r="N548" s="5"/>
    </row>
    <row r="549" spans="1:14" x14ac:dyDescent="0.25">
      <c r="A549" s="38"/>
      <c r="B549" s="20" t="s">
        <v>1126</v>
      </c>
      <c r="C549" s="21" t="s">
        <v>1127</v>
      </c>
      <c r="D549" s="21" t="s">
        <v>951</v>
      </c>
      <c r="E549" s="22">
        <v>93</v>
      </c>
      <c r="F549" s="22">
        <v>2</v>
      </c>
      <c r="G549" s="21" t="s">
        <v>118</v>
      </c>
      <c r="H549" s="22">
        <v>8</v>
      </c>
      <c r="I549" s="19"/>
      <c r="J549" s="4" t="str">
        <f t="shared" si="24"/>
        <v>PI093</v>
      </c>
      <c r="K549" s="6" t="str">
        <f>IFERROR(VLOOKUP(J549,'Inadimplencia - FEV 2025'!$A$5:$E$85,4,0),"0")</f>
        <v>0</v>
      </c>
      <c r="L549" s="6" t="str">
        <f>IFERROR(VLOOKUP(J549,'Inadimplencia - Out 2025'!$A$5:$E$85,4,0),"0")</f>
        <v>0</v>
      </c>
      <c r="M549" s="31">
        <f t="shared" si="23"/>
        <v>0</v>
      </c>
      <c r="N549" s="5"/>
    </row>
    <row r="550" spans="1:14" x14ac:dyDescent="0.25">
      <c r="A550" s="38"/>
      <c r="B550" s="20" t="s">
        <v>1110</v>
      </c>
      <c r="C550" s="21" t="s">
        <v>1111</v>
      </c>
      <c r="D550" s="21" t="s">
        <v>951</v>
      </c>
      <c r="E550" s="22">
        <v>94</v>
      </c>
      <c r="F550" s="22">
        <v>2</v>
      </c>
      <c r="G550" s="21" t="s">
        <v>133</v>
      </c>
      <c r="H550" s="22">
        <v>8</v>
      </c>
      <c r="I550" s="19"/>
      <c r="J550" s="4" t="str">
        <f t="shared" si="24"/>
        <v>PI094</v>
      </c>
      <c r="K550" s="6" t="str">
        <f>IFERROR(VLOOKUP(J550,'Inadimplencia - FEV 2025'!$A$5:$E$85,4,0),"0")</f>
        <v>0</v>
      </c>
      <c r="L550" s="6" t="str">
        <f>IFERROR(VLOOKUP(J550,'Inadimplencia - Out 2025'!$A$5:$E$85,4,0),"0")</f>
        <v>0</v>
      </c>
      <c r="M550" s="31">
        <f t="shared" si="23"/>
        <v>0</v>
      </c>
      <c r="N550" s="5"/>
    </row>
  </sheetData>
  <sortState xmlns:xlrd2="http://schemas.microsoft.com/office/spreadsheetml/2017/richdata2" ref="B3:N550">
    <sortCondition ref="N3:N550"/>
    <sortCondition descending="1" ref="K3:K550"/>
    <sortCondition descending="1" ref="L3:L550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Inadimplencia - FEV 2025</vt:lpstr>
      <vt:lpstr>Inadimplencia - Out 2025</vt:lpstr>
      <vt:lpstr>Comparativa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2025-02-25T20:10:45Z</dcterms:created>
  <dcterms:modified xsi:type="dcterms:W3CDTF">2025-11-07T20:33:03Z</dcterms:modified>
</cp:coreProperties>
</file>